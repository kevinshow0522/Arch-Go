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5c226a4d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956d7467eb04dfa"/>
    <x:sheet xmlns:r="http://schemas.openxmlformats.org/officeDocument/2006/relationships" name="六册状态" sheetId="2" r:id="R89638aba41ed447c"/>
    <x:sheet xmlns:r="http://schemas.openxmlformats.org/officeDocument/2006/relationships" name="电子渠道" sheetId="3" r:id="R11e94a0d48b34d69"/>
    <x:sheet xmlns:r="http://schemas.openxmlformats.org/officeDocument/2006/relationships" name="本轮来源" sheetId="4" r:id="R59e94add40cd40d7"/>
    <x:sheet xmlns:r="http://schemas.openxmlformats.org/officeDocument/2006/relationships" name="设计操作卡" sheetId="5" r:id="R7f48b03580c04bf7"/>
    <x:sheet xmlns:r="http://schemas.openxmlformats.org/officeDocument/2006/relationships" name="图示核验" sheetId="6" r:id="Rb2d3a900a21049a3"/>
    <x:sheet xmlns:r="http://schemas.openxmlformats.org/officeDocument/2006/relationships" name="检索日志" sheetId="7" r:id="Rdef5291d277748e0"/>
    <x:sheet xmlns:r="http://schemas.openxmlformats.org/officeDocument/2006/relationships" name="继承与测试" sheetId="8" r:id="Refb981e9cf5b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8">
    <x:font>
      <x:sz val="11"/>
      <x:name val="Carlito"/>
    </x:font>
    <x:font>
      <x:sz val="10"/>
      <x:name val="Carlito"/>
    </x:font>
    <x:font>
      <x:b/>
      <x:sz val="11"/>
      <x:color rgb="FFFFFFFF"/>
      <x:name val="Carlito"/>
    </x:font>
    <x:font>
      <x:sz val="11"/>
      <x:color rgb="FF203A46"/>
      <x:name val="Carlito"/>
    </x:font>
    <x:font>
      <x:b/>
      <x:sz val="20"/>
      <x:color rgb="FFFFFFFF"/>
      <x:name val="Carlito"/>
    </x:font>
    <x:font>
      <x:b/>
      <x:sz val="11"/>
      <x:color rgb="FF203A46"/>
      <x:name val="Carlito"/>
    </x:font>
    <x:font>
      <x:b/>
      <x:sz val="27"/>
      <x:color rgb="FF245E61"/>
      <x:name val="Carlito"/>
    </x:font>
    <x:font>
      <x:b/>
      <x:sz val="14"/>
      <x:color rgb="FF245E6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E61"/>
      </x:patternFill>
    </x:fill>
    <x:fill>
      <x:patternFill patternType="solid">
        <x:fgColor rgb="FFF4F6F7"/>
      </x:patternFill>
    </x:fill>
    <x:fill>
      <x:patternFill patternType="solid">
        <x:fgColor rgb="FFFFF2DA"/>
      </x:patternFill>
    </x:fill>
    <x:fill>
      <x:patternFill patternType="solid">
        <x:fgColor rgb="FF203A46"/>
      </x:patternFill>
    </x:fill>
    <x:fill>
      <x:patternFill patternType="solid">
        <x:fgColor rgb="FFEAF1F1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245E61"/>
      </x:font>
      <x:fill>
        <x:patternFill patternType="solid">
          <x:bgColor rgb="FFDCEE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39c8524694d39" /><Relationship Type="http://schemas.openxmlformats.org/officeDocument/2006/relationships/theme" Target="/xl/theme/theme1.xml" Id="Rcd62550775e84405" /><Relationship Type="http://schemas.openxmlformats.org/officeDocument/2006/relationships/sharedStrings" Target="/xl/sharedStrings.xml" Id="Rb12500c2cbb24932" /><Relationship Type="http://schemas.openxmlformats.org/officeDocument/2006/relationships/worksheet" Target="/xl/worksheets/sheet1.xml" Id="R7956d7467eb04dfa" /><Relationship Type="http://schemas.openxmlformats.org/officeDocument/2006/relationships/worksheet" Target="/xl/worksheets/sheet2.xml" Id="R89638aba41ed447c" /><Relationship Type="http://schemas.openxmlformats.org/officeDocument/2006/relationships/worksheet" Target="/xl/worksheets/sheet3.xml" Id="R11e94a0d48b34d69" /><Relationship Type="http://schemas.openxmlformats.org/officeDocument/2006/relationships/worksheet" Target="/xl/worksheets/sheet4.xml" Id="R59e94add40cd40d7" /><Relationship Type="http://schemas.openxmlformats.org/officeDocument/2006/relationships/worksheet" Target="/xl/worksheets/sheet5.xml" Id="R7f48b03580c04bf7" /><Relationship Type="http://schemas.openxmlformats.org/officeDocument/2006/relationships/worksheet" Target="/xl/worksheets/sheet6.xml" Id="Rb2d3a900a21049a3" /><Relationship Type="http://schemas.openxmlformats.org/officeDocument/2006/relationships/worksheet" Target="/xl/worksheets/sheet7.xml" Id="Rdef5291d277748e0" /><Relationship Type="http://schemas.openxmlformats.org/officeDocument/2006/relationships/worksheet" Target="/xl/worksheets/sheet8.xml" Id="Refb981e9cf5b4e61" /></Relationships>
</file>

<file path=xl/tables/table1.xml><?xml version="1.0" encoding="utf-8"?>
<x:table xmlns:x="http://schemas.openxmlformats.org/spreadsheetml/2006/main" id="1" name="T2" displayName="T2" ref="A1:M7" headerRowCount="1" totalsRowCount="0" totalsRowShown="0">
  <x:tableColumns count="13">
    <x:tableColumn id="1" name="书ID"/>
    <x:tableColumn id="2" name="目标著作"/>
    <x:tableColumn id="3" name="ISBN（目标版）"/>
    <x:tableColumn id="4" name="作者／编者登记"/>
    <x:tableColumn id="5" name="出版社"/>
    <x:tableColumn id="6" name="出版／版本年"/>
    <x:tableColumn id="7" name="电子渠道"/>
    <x:tableColumn id="8" name="完整正文"/>
    <x:tableColumn id="9" name="全文校阅"/>
    <x:tableColumn id="10" name="提取权限"/>
    <x:tableColumn id="11" name="核验边界与问题"/>
    <x:tableColumn id="12" name="来源／旧台账网址"/>
    <x:tableColumn id="13" name="核查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" displayName="T3" ref="A1:K7" headerRowCount="1" totalsRowCount="0" totalsRowShown="0">
  <x:tableColumns count="11">
    <x:tableColumn id="1" name="渠道ID"/>
    <x:tableColumn id="2" name="书ID"/>
    <x:tableColumn id="3" name="平台／渠道"/>
    <x:tableColumn id="4" name="核验状态"/>
    <x:tableColumn id="5" name="电子格式"/>
    <x:tableColumn id="6" name="保护方式"/>
    <x:tableColumn id="7" name="书籍身份依据"/>
    <x:tableColumn id="8" name="访问结果"/>
    <x:tableColumn id="9" name="试读结果"/>
    <x:tableColumn id="10" name="能否导入"/>
    <x:tableColumn id="11" name="原网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" displayName="T4" ref="A1:K14" headerRowCount="1" totalsRowCount="0" totalsRowShown="0">
  <x:tableColumns count="11">
    <x:tableColumn id="1" name="证据ID"/>
    <x:tableColumn id="2" name="旧ID"/>
    <x:tableColumn id="3" name="标题"/>
    <x:tableColumn id="4" name="资料类型"/>
    <x:tableColumn id="5" name="原始署名／发言角色"/>
    <x:tableColumn id="6" name="发表／平台日期"/>
    <x:tableColumn id="7" name="实际读取状态"/>
    <x:tableColumn id="8" name="可支持内容"/>
    <x:tableColumn id="9" name="使用边界"/>
    <x:tableColumn id="10" name="定位"/>
    <x:tableColumn id="11" name="原网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" displayName="T5" ref="A1:L9" headerRowCount="1" totalsRowCount="0" totalsRowShown="0">
  <x:tableColumns count="12">
    <x:tableColumn id="1" name="操作ID"/>
    <x:tableColumn id="2" name="名称"/>
    <x:tableColumn id="3" name="触发任务"/>
    <x:tableColumn id="4" name="输入"/>
    <x:tableColumn id="5" name="设计操作"/>
    <x:tableColumn id="6" name="交付成果"/>
    <x:tableColumn id="7" name="证据边界"/>
    <x:tableColumn id="8" name="反例／例外"/>
    <x:tableColumn id="9" name="检验方法"/>
    <x:tableColumn id="10" name="依据ID"/>
    <x:tableColumn id="11" name="原始来源"/>
    <x:tableColumn id="12" name="知识性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" displayName="T6" ref="A1:H4" headerRowCount="1" totalsRowCount="0" totalsRowShown="0">
  <x:tableColumns count="8">
    <x:tableColumn id="1" name="图ID"/>
    <x:tableColumn id="2" name="来源ID"/>
    <x:tableColumn id="3" name="公开图示名称"/>
    <x:tableColumn id="4" name="视觉检查"/>
    <x:tableColumn id="5" name="书内页码"/>
    <x:tableColumn id="6" name="可以支持"/>
    <x:tableColumn id="7" name="不可推导"/>
    <x:tableColumn id="8" name="原图网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" displayName="T7" ref="A1:E10" headerRowCount="1" totalsRowCount="0" totalsRowShown="0">
  <x:tableColumns count="5">
    <x:tableColumn id="1" name="查询ID"/>
    <x:tableColumn id="2" name="核心关键词／查询概括"/>
    <x:tableColumn id="3" name="检索范围"/>
    <x:tableColumn id="4" name="本轮结果"/>
    <x:tableColumn id="5" name="核查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" displayName="T8" ref="A1:E12" headerRowCount="1" totalsRowCount="0" totalsRowShown="0">
  <x:tableColumns count="5">
    <x:tableColumn id="1" name="类别"/>
    <x:tableColumn id="2" name="检查／资料项"/>
    <x:tableColumn id="3" name="数量"/>
    <x:tableColumn id="4" name="范围说明"/>
    <x:tableColumn id="5" name="文件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9cf52174214a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6e97f2bbe40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43c40c3ccc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54f81935cb48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5b57d869bb4c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8244da7e2f4c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0f054bdb364c0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31" t="str">
        <x:v>崔愷 × 本土设计团队｜研究 Skill V0.4</x:v>
      </x:c>
      <x:c r="B1" s="31"/>
      <x:c r="C1" s="31"/>
      <x:c r="D1" s="31"/>
      <x:c r="E1" s="31"/>
      <x:c r="F1" s="31"/>
      <x:c r="G1" s="31"/>
      <x:c r="H1" s="31"/>
    </x:row>
    <x:row r="2" ht="28" customHeight="1">
      <x:c r="A2" s="31"/>
      <x:c r="B2" s="31"/>
      <x:c r="C2" s="31"/>
      <x:c r="D2" s="31"/>
      <x:c r="E2" s="31"/>
      <x:c r="F2" s="31"/>
      <x:c r="G2" s="31"/>
      <x:c r="H2" s="31"/>
    </x:row>
    <x:row r="3" ht="32" customHeight="1">
      <x:c r="A3" s="34" t="str">
        <x:v>电子资源核验与设计流程重构  ·  2026-10-10  ·  非全书蒸馏完成版</x:v>
      </x:c>
      <x:c r="B3" s="34"/>
      <x:c r="C3" s="34"/>
      <x:c r="D3" s="34"/>
      <x:c r="E3" s="34"/>
      <x:c r="F3" s="34"/>
      <x:c r="G3" s="34"/>
      <x:c r="H3" s="34"/>
    </x:row>
    <x:row r="4" ht="26" customHeight="1">
      <x:c r="A4" s="26"/>
      <x:c r="B4" s="26"/>
      <x:c r="C4" s="26"/>
      <x:c r="D4" s="26"/>
      <x:c r="E4" s="26"/>
      <x:c r="F4" s="26"/>
      <x:c r="G4" s="26"/>
      <x:c r="H4" s="26"/>
    </x:row>
    <x:row r="5" ht="26" customHeight="1">
      <x:c r="A5" s="37" t="str">
        <x:v>目标著作册数</x:v>
      </x:c>
      <x:c r="B5" s="37"/>
      <x:c r="C5" s="37" t="str">
        <x:v>已确认电子版册数</x:v>
      </x:c>
      <x:c r="D5" s="37"/>
      <x:c r="E5" s="37" t="str">
        <x:v>已取得完整正文</x:v>
      </x:c>
      <x:c r="F5" s="37"/>
      <x:c r="G5" s="37" t="str">
        <x:v>完成全文校阅</x:v>
      </x:c>
      <x:c r="H5" s="37"/>
    </x:row>
    <x:row r="6" ht="26" customHeight="1">
      <x:c r="A6" s="42" t="n">
        <x:f>COUNTA('六册状态'!A2:A7)</x:f>
        <x:v>6</x:v>
      </x:c>
      <x:c r="B6" s="42"/>
      <x:c r="C6" s="42" t="n">
        <x:f>COUNTIF('六册状态'!G2:G7,"已确认")</x:f>
        <x:v>1</x:v>
      </x:c>
      <x:c r="D6" s="42"/>
      <x:c r="E6" s="42" t="n">
        <x:f>COUNTIF('六册状态'!H2:H7,"已取得未核")+COUNTIF('六册状态'!H2:H7,"已完成图文核验")</x:f>
        <x:v>0</x:v>
      </x:c>
      <x:c r="F6" s="42"/>
      <x:c r="G6" s="42" t="n">
        <x:f>COUNTIF('六册状态'!I2:I7,"完整校阅")</x:f>
        <x:v>0</x:v>
      </x:c>
      <x:c r="H6" s="42"/>
    </x:row>
    <x:row r="7" ht="26" customHeight="1">
      <x:c r="A7" s="42"/>
      <x:c r="B7" s="42"/>
      <x:c r="C7" s="42"/>
      <x:c r="D7" s="42"/>
      <x:c r="E7" s="42"/>
      <x:c r="F7" s="42"/>
      <x:c r="G7" s="42"/>
      <x:c r="H7" s="42"/>
    </x:row>
    <x:row r="8" ht="26" customHeight="1">
      <x:c r="A8" s="26"/>
      <x:c r="B8" s="26"/>
      <x:c r="C8" s="26"/>
      <x:c r="D8" s="26"/>
      <x:c r="E8" s="26"/>
      <x:c r="F8" s="26"/>
      <x:c r="G8" s="26"/>
      <x:c r="H8" s="26"/>
    </x:row>
    <x:row r="9" ht="28" customHeight="1">
      <x:c r="A9" s="46" t="str">
        <x:v>已确认：多专业分册有正规 EPUB2 电子书渠道，但带 Adobe DRM；销售入口不等于可导入全文。其余五册本轮未确认可用授权全文入口。</x:v>
      </x:c>
      <x:c r="B9" s="46"/>
      <x:c r="C9" s="46"/>
      <x:c r="D9" s="46"/>
      <x:c r="E9" s="46"/>
      <x:c r="F9" s="46"/>
      <x:c r="G9" s="46"/>
      <x:c r="H9" s="46"/>
    </x:row>
    <x:row r="10" ht="28" customHeight="1">
      <x:c r="A10" s="46"/>
      <x:c r="B10" s="46"/>
      <x:c r="C10" s="46"/>
      <x:c r="D10" s="46"/>
      <x:c r="E10" s="46"/>
      <x:c r="F10" s="46"/>
      <x:c r="G10" s="46"/>
      <x:c r="H10" s="46"/>
    </x:row>
    <x:row r="11" ht="26" customHeight="1">
      <x:c r="A11" s="26"/>
      <x:c r="B11" s="26"/>
      <x:c r="C11" s="26"/>
      <x:c r="D11" s="26"/>
      <x:c r="E11" s="26"/>
      <x:c r="F11" s="26"/>
      <x:c r="G11" s="26"/>
      <x:c r="H11" s="26"/>
    </x:row>
    <x:row r="12" ht="26" customHeight="1">
      <x:c r="A12" s="9" t="str">
        <x:v>本轮新增｜可追溯的研究成果，而不是未读著作的“完整知识”</x:v>
      </x:c>
      <x:c r="B12" s="9"/>
      <x:c r="C12" s="9"/>
      <x:c r="D12" s="9"/>
      <x:c r="E12" s="9"/>
      <x:c r="F12" s="9"/>
      <x:c r="G12" s="9"/>
      <x:c r="H12" s="9"/>
    </x:row>
    <x:row r="13" ht="26" customHeight="1">
      <x:c r="A13" s="26" t="str">
        <x:v>公开图示完成视觉检查</x:v>
      </x:c>
      <x:c r="B13" s="26"/>
      <x:c r="C13" s="26"/>
      <x:c r="D13" s="26"/>
      <x:c r="E13" s="51" t="n">
        <x:f>COUNTA('图示核验'!A2:A4)</x:f>
        <x:v>3</x:v>
      </x:c>
      <x:c r="F13" s="51"/>
      <x:c r="G13" s="51"/>
      <x:c r="H13" s="51"/>
    </x:row>
    <x:row r="14" ht="26" customHeight="1">
      <x:c r="A14" s="26" t="str">
        <x:v>研究者操作卡（W01—W08）</x:v>
      </x:c>
      <x:c r="B14" s="26"/>
      <x:c r="C14" s="26"/>
      <x:c r="D14" s="26"/>
      <x:c r="E14" s="51" t="n">
        <x:f>COUNTA('设计操作卡'!A2:A9)</x:f>
        <x:v>8</x:v>
      </x:c>
      <x:c r="F14" s="51"/>
      <x:c r="G14" s="51"/>
      <x:c r="H14" s="51"/>
    </x:row>
    <x:row r="15" ht="26" customHeight="1">
      <x:c r="A15" s="26" t="str">
        <x:v>本轮来源记录</x:v>
      </x:c>
      <x:c r="B15" s="26"/>
      <x:c r="C15" s="26"/>
      <x:c r="D15" s="26"/>
      <x:c r="E15" s="51" t="n">
        <x:f>COUNTA('本轮来源'!A2:A14)</x:f>
        <x:v>13</x:v>
      </x:c>
      <x:c r="F15" s="51"/>
      <x:c r="G15" s="51"/>
      <x:c r="H15" s="51"/>
    </x:row>
    <x:row r="16" ht="26" customHeight="1">
      <x:c r="A16" s="26" t="str">
        <x:v>合成程序测试通过数</x:v>
      </x:c>
      <x:c r="B16" s="26"/>
      <x:c r="C16" s="26"/>
      <x:c r="D16" s="26"/>
      <x:c r="E16" s="51" t="n">
        <x:f>'继承与测试'!C10</x:f>
        <x:v>13</x:v>
      </x:c>
      <x:c r="F16" s="51"/>
      <x:c r="G16" s="51"/>
      <x:c r="H16" s="51"/>
    </x:row>
    <x:row r="17" ht="26" customHeight="1">
      <x:c r="A17" s="26"/>
      <x:c r="B17" s="26"/>
      <x:c r="C17" s="26"/>
      <x:c r="D17" s="26"/>
      <x:c r="E17" s="26"/>
      <x:c r="F17" s="26"/>
      <x:c r="G17" s="26"/>
      <x:c r="H17" s="26"/>
    </x:row>
    <x:row r="18" ht="26" customHeight="1">
      <x:c r="A18" s="9" t="str">
        <x:v>八环节设计流程｜本研究操作化，非院士本人命名公式</x:v>
      </x:c>
      <x:c r="B18" s="9"/>
      <x:c r="C18" s="9"/>
      <x:c r="D18" s="9"/>
      <x:c r="E18" s="9"/>
      <x:c r="F18" s="9"/>
      <x:c r="G18" s="9"/>
      <x:c r="H18" s="9"/>
    </x:row>
    <x:row r="19" ht="27" customHeight="1">
      <x:c r="A19" s="34" t="str">
        <x:v>事实与边界 → 资源与矛盾 → 分类保留与干预 → 策略比较 → 气候性能 → 工艺建造 → 专业接口 → 分期与后评价</x:v>
      </x:c>
      <x:c r="B19" s="34"/>
      <x:c r="C19" s="34"/>
      <x:c r="D19" s="34"/>
      <x:c r="E19" s="34"/>
      <x:c r="F19" s="34"/>
      <x:c r="G19" s="34"/>
      <x:c r="H19" s="34"/>
    </x:row>
    <x:row r="20" ht="27" customHeight="1">
      <x:c r="A20" s="34"/>
      <x:c r="B20" s="34"/>
      <x:c r="C20" s="34"/>
      <x:c r="D20" s="34"/>
      <x:c r="E20" s="34"/>
      <x:c r="F20" s="34"/>
      <x:c r="G20" s="34"/>
      <x:c r="H20" s="34"/>
    </x:row>
    <x:row r="21" ht="26" customHeight="1">
      <x:c r="A21" s="26"/>
      <x:c r="B21" s="26"/>
      <x:c r="C21" s="26"/>
      <x:c r="D21" s="26"/>
      <x:c r="E21" s="26"/>
      <x:c r="F21" s="26"/>
      <x:c r="G21" s="26"/>
      <x:c r="H21" s="26"/>
    </x:row>
    <x:row r="22" ht="26" customHeight="1">
      <x:c r="A22" s="9" t="str">
        <x:v>阅读台账的规则</x:v>
      </x:c>
      <x:c r="B22" s="9"/>
      <x:c r="C22" s="9"/>
      <x:c r="D22" s="9"/>
      <x:c r="E22" s="9"/>
      <x:c r="F22" s="9"/>
      <x:c r="G22" s="9"/>
      <x:c r="H22" s="9"/>
    </x:row>
    <x:row r="23" ht="32" customHeight="1">
      <x:c r="A23" s="26" t="str">
        <x:v>「六册状态」记目标书版本和全文状态；「电子渠道」记录每个入口，两个商店不可算两册。</x:v>
      </x:c>
      <x:c r="B23" s="26"/>
      <x:c r="C23" s="26"/>
      <x:c r="D23" s="26"/>
      <x:c r="E23" s="26"/>
      <x:c r="F23" s="26"/>
      <x:c r="G23" s="26"/>
      <x:c r="H23" s="26"/>
    </x:row>
    <x:row r="24" ht="32" customHeight="1">
      <x:c r="A24" s="26" t="str">
        <x:v>「本轮来源」分别记录原始署名、阅读范围和定位；提问者、答者、团队与研究推论不混用。</x:v>
      </x:c>
      <x:c r="B24" s="26"/>
      <x:c r="C24" s="26"/>
      <x:c r="D24" s="26"/>
      <x:c r="E24" s="26"/>
      <x:c r="F24" s="26"/>
      <x:c r="G24" s="26"/>
      <x:c r="H24" s="26"/>
    </x:row>
    <x:row r="25" ht="32" customHeight="1">
      <x:c r="A25" s="26" t="str">
        <x:v>「继承与测试」隔离旧项目记录与新检查；静态程序测试不证明建筑设计质量。</x:v>
      </x:c>
      <x:c r="B25" s="26"/>
      <x:c r="C25" s="26"/>
      <x:c r="D25" s="26"/>
      <x:c r="E25" s="26"/>
      <x:c r="F25" s="26"/>
      <x:c r="G25" s="26"/>
      <x:c r="H25" s="26"/>
    </x:row>
    <x:row r="26" ht="32" customHeight="1">
      <x:c r="A26" s="26" t="str">
        <x:v>请先核实机器提取与研究许可，再决定购买 DRM 电子版；本包没有代购、登录或发送询问信。</x:v>
      </x:c>
      <x:c r="B26" s="26"/>
      <x:c r="C26" s="26"/>
      <x:c r="D26" s="26"/>
      <x:c r="E26" s="26"/>
      <x:c r="F26" s="26"/>
      <x:c r="G26" s="26"/>
      <x:c r="H26" s="26"/>
    </x:row>
    <x:row r="27" ht="26" customHeight="1">
      <x:c r="A27" s="26"/>
      <x:c r="B27" s="26"/>
      <x:c r="C27" s="26"/>
      <x:c r="D27" s="26"/>
      <x:c r="E27" s="26"/>
      <x:c r="F27" s="26"/>
      <x:c r="G27" s="26"/>
      <x:c r="H27" s="26"/>
    </x:row>
    <x:row r="28" ht="28" customHeight="1">
      <x:c r="A28" s="40" t="str">
        <x:v>文件入口：SKILL.md · reports/电子资源核验与重构报告.md · method/operations.json
状态更新以后，仍需同步JSON登记文件；Excel是人工研究台账，不会自动改写Skill文件。</x:v>
      </x:c>
      <x:c r="B28" s="40"/>
      <x:c r="C28" s="40"/>
      <x:c r="D28" s="40"/>
      <x:c r="E28" s="40"/>
      <x:c r="F28" s="40"/>
      <x:c r="G28" s="40"/>
      <x:c r="H28" s="40"/>
    </x:row>
    <x:row r="29" ht="28" customHeight="1">
      <x:c r="A29" s="40"/>
      <x:c r="B29" s="40"/>
      <x:c r="C29" s="40"/>
      <x:c r="D29" s="40"/>
      <x:c r="E29" s="40"/>
      <x:c r="F29" s="40"/>
      <x:c r="G29" s="40"/>
      <x:c r="H29" s="40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D13"/>
    <x:mergeCell ref="E13:H13"/>
    <x:mergeCell ref="A14:D14"/>
    <x:mergeCell ref="E14:H14"/>
    <x:mergeCell ref="A15:D15"/>
    <x:mergeCell ref="E15:H15"/>
    <x:mergeCell ref="A16:D16"/>
    <x:mergeCell ref="E16:H16"/>
    <x:mergeCell ref="A18:H18"/>
    <x:mergeCell ref="A19:H20"/>
    <x:mergeCell ref="A22:H22"/>
    <x:mergeCell ref="A23:H23"/>
    <x:mergeCell ref="A24:H24"/>
    <x:mergeCell ref="A25:H25"/>
    <x:mergeCell ref="A26:H26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32" hidden="0" customWidth="1"/>
    <x:col min="5" max="5" width="24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40" hidden="0" customWidth="1"/>
    <x:col min="12" max="12" width="40" hidden="0" customWidth="1"/>
    <x:col min="13" max="13" width="15" hidden="0" customWidth="1"/>
  </x:cols>
  <x:sheetData>
    <x:row r="1" ht="34" customHeight="1">
      <x:c r="A1" s="9" t="str">
        <x:v>书ID</x:v>
      </x:c>
      <x:c r="B1" s="9" t="str">
        <x:v>目标著作</x:v>
      </x:c>
      <x:c r="C1" s="9" t="str">
        <x:v>ISBN（目标版）</x:v>
      </x:c>
      <x:c r="D1" s="9" t="str">
        <x:v>作者／编者登记</x:v>
      </x:c>
      <x:c r="E1" s="9" t="str">
        <x:v>出版社</x:v>
      </x:c>
      <x:c r="F1" s="9" t="str">
        <x:v>出版／版本年</x:v>
      </x:c>
      <x:c r="G1" s="9" t="str">
        <x:v>电子渠道</x:v>
      </x:c>
      <x:c r="H1" s="9" t="str">
        <x:v>完整正文</x:v>
      </x:c>
      <x:c r="I1" s="9" t="str">
        <x:v>全文校阅</x:v>
      </x:c>
      <x:c r="J1" s="9" t="str">
        <x:v>提取权限</x:v>
      </x:c>
      <x:c r="K1" s="9" t="str">
        <x:v>核验边界与问题</x:v>
      </x:c>
      <x:c r="L1" s="9" t="str">
        <x:v>来源／旧台账网址</x:v>
      </x:c>
      <x:c r="M1" s="9" t="str">
        <x:v>核查日期</x:v>
      </x:c>
    </x:row>
    <x:row r="2" ht="88" customHeight="1">
      <x:c r="A2" s="12" t="str">
        <x:v>BD01</x:v>
      </x:c>
      <x:c r="B2" s="12" t="str">
        <x:v>本土设计（第一册，旧版简称Ⅰ）</x:v>
      </x:c>
      <x:c r="C2" s="14" t="str">
        <x:v>9787302191414</x:v>
      </x:c>
      <x:c r="D2" s="12" t="str">
        <x:v>崔愷（以版权页为准）</x:v>
      </x:c>
      <x:c r="E2" s="12" t="str">
        <x:v>清华大学出版社</x:v>
      </x:c>
      <x:c r="F2" s="12" t="str">
        <x:v>2008／2009待版权页核对</x:v>
      </x:c>
      <x:c r="G2" s="12" t="str">
        <x:v>未确认</x:v>
      </x:c>
      <x:c r="H2" s="22" t="str">
        <x:v>未取得</x:v>
      </x:c>
      <x:c r="I2" s="22" t="str">
        <x:v>未校阅</x:v>
      </x:c>
      <x:c r="J2" s="12" t="str">
        <x:v>未确认</x:v>
      </x:c>
      <x:c r="K2" s="12" t="str">
        <x:v>本轮未取得第一册版权页；Ⅱ册书介提及2009，与旧台账2008不一致，保留差异，不自行消解。</x:v>
      </x:c>
      <x:c r="L2" s="12" t="str">
        <x:v>https://www.newton.com.tw/wiki/%E6%9C%AC%E5%9C%9F%E8%A8%AD%E8%A8%88/10355984</x:v>
      </x:c>
      <x:c r="M2" s="18" t="n">
        <x:v>46305</x:v>
      </x:c>
    </x:row>
    <x:row r="3" ht="88" customHeight="1">
      <x:c r="A3" s="4" t="str">
        <x:v>BD02</x:v>
      </x:c>
      <x:c r="B3" s="4" t="str">
        <x:v>本土设计Ⅱ</x:v>
      </x:c>
      <x:c r="C3" s="15" t="str">
        <x:v>9787513041560</x:v>
      </x:c>
      <x:c r="D3" s="4" t="str">
        <x:v>崔愷</x:v>
      </x:c>
      <x:c r="E3" s="4" t="str">
        <x:v>知识产权出版社</x:v>
      </x:c>
      <x:c r="F3" s="4" t="str">
        <x:v>2016</x:v>
      </x:c>
      <x:c r="G3" s="4" t="str">
        <x:v>未确认</x:v>
      </x:c>
      <x:c r="H3" s="22" t="str">
        <x:v>未取得</x:v>
      </x:c>
      <x:c r="I3" s="22" t="str">
        <x:v>未校阅</x:v>
      </x:c>
      <x:c r="J3" s="4" t="str">
        <x:v>未确认</x:v>
      </x:c>
      <x:c r="K3" s="4" t="str">
        <x:v>三民页面确认纸本ISBN、作者、出版社和装订；不是电子书。</x:v>
      </x:c>
      <x:c r="L3" s="4" t="str">
        <x:v>https://www.sanmin.com.tw/product/index/005813606</x:v>
      </x:c>
      <x:c r="M3" s="19" t="n">
        <x:v>46305</x:v>
      </x:c>
    </x:row>
    <x:row r="4" ht="88" customHeight="1">
      <x:c r="A4" s="12" t="str">
        <x:v>BD03</x:v>
      </x:c>
      <x:c r="B4" s="12" t="str">
        <x:v>本土设计Ⅲ</x:v>
      </x:c>
      <x:c r="C4" s="14" t="str">
        <x:v>9787112291908</x:v>
      </x:c>
      <x:c r="D4" s="12" t="str">
        <x:v>崔愷</x:v>
      </x:c>
      <x:c r="E4" s="12" t="str">
        <x:v>中国建筑工业出版社</x:v>
      </x:c>
      <x:c r="F4" s="12" t="str">
        <x:v>2023</x:v>
      </x:c>
      <x:c r="G4" s="12" t="str">
        <x:v>未确认</x:v>
      </x:c>
      <x:c r="H4" s="22" t="str">
        <x:v>未取得</x:v>
      </x:c>
      <x:c r="I4" s="22" t="str">
        <x:v>未校阅</x:v>
      </x:c>
      <x:c r="J4" s="12" t="str">
        <x:v>未确认</x:v>
      </x:c>
      <x:c r="K4" s="12" t="str">
        <x:v>官方新书发布和本人访谈确认著作侧重。旧书目链接本轮一次可读、复查超时；未获得正文。ISBN沿用旧台账，待版权页再核。</x:v>
      </x:c>
      <x:c r="L4" s="12" t="str">
        <x:v>https://www.96192.com/product/detail/1042804</x:v>
      </x:c>
      <x:c r="M4" s="18" t="n">
        <x:v>46305</x:v>
      </x:c>
    </x:row>
    <x:row r="5" ht="88" customHeight="1">
      <x:c r="A5" s="4" t="str">
        <x:v>BD04</x:v>
      </x:c>
      <x:c r="B5" s="4" t="str">
        <x:v>本土设计Ⅳ</x:v>
      </x:c>
      <x:c r="C5" s="15" t="str">
        <x:v>9787112291892</x:v>
      </x:c>
      <x:c r="D5" s="4" t="str">
        <x:v>崔愷</x:v>
      </x:c>
      <x:c r="E5" s="4" t="str">
        <x:v>中国建筑工业出版社</x:v>
      </x:c>
      <x:c r="F5" s="4" t="str">
        <x:v>2023</x:v>
      </x:c>
      <x:c r="G5" s="4" t="str">
        <x:v>未确认</x:v>
      </x:c>
      <x:c r="H5" s="22" t="str">
        <x:v>未取得</x:v>
      </x:c>
      <x:c r="I5" s="22" t="str">
        <x:v>未校阅</x:v>
      </x:c>
      <x:c r="J5" s="4" t="str">
        <x:v>未确认</x:v>
      </x:c>
      <x:c r="K5" s="4" t="str">
        <x:v>官方新书发布和本人访谈确认绿色方法与实践侧重。ISBN沿用旧台账，待版权页再核；未取得可核验全文入口。</x:v>
      </x:c>
      <x:c r="L5" s="4" t="str">
        <x:v>https://www.cctc.cn/jtyw/2023/85810.shtml</x:v>
      </x:c>
      <x:c r="M5" s="19" t="n">
        <x:v>46305</x:v>
      </x:c>
    </x:row>
    <x:row r="6" ht="88" customHeight="1">
      <x:c r="A6" s="12" t="str">
        <x:v>GU01</x:v>
      </x:c>
      <x:c r="B6" s="12" t="str">
        <x:v>城市更新绿色指引：规划／建筑专业</x:v>
      </x:c>
      <x:c r="C6" s="14" t="str">
        <x:v>9787112301898</x:v>
      </x:c>
      <x:c r="D6" s="12" t="str">
        <x:v>崔愷、任祖华、徐斌（编者）；其他参与者以版权页为准</x:v>
      </x:c>
      <x:c r="E6" s="12" t="str">
        <x:v>中国建筑工业出版社</x:v>
      </x:c>
      <x:c r="F6" s="12" t="str">
        <x:v>2024</x:v>
      </x:c>
      <x:c r="G6" s="12" t="str">
        <x:v>未确认</x:v>
      </x:c>
      <x:c r="H6" s="22" t="str">
        <x:v>未取得</x:v>
      </x:c>
      <x:c r="I6" s="22" t="str">
        <x:v>未校阅</x:v>
      </x:c>
      <x:c r="J6" s="12" t="str">
        <x:v>未确认</x:v>
      </x:c>
      <x:c r="K6" s="12" t="str">
        <x:v>取得两册系列发布文章与公开总体框架，不能作为本册完整内容；特定电子书入口仍未确认。</x:v>
      </x:c>
      <x:c r="L6" s="12" t="str">
        <x:v>https://www.yuntaigo.com/book.action?recordid=bm9sbWJvbmM5Nzg3MTEyMzAxODk4</x:v>
      </x:c>
      <x:c r="M6" s="18" t="n">
        <x:v>46305</x:v>
      </x:c>
    </x:row>
    <x:row r="7" ht="88" customHeight="1">
      <x:c r="A7" s="4" t="str">
        <x:v>GU02</x:v>
      </x:c>
      <x:c r="B7" s="4" t="str">
        <x:v>城市更新绿色指引：生态景观／历史文化／交通／总图／市政／结构／机电／室内专业</x:v>
      </x:c>
      <x:c r="C7" s="15" t="str">
        <x:v>9787112303724</x:v>
      </x:c>
      <x:c r="D7" s="4" t="str">
        <x:v>中国建设科技集团（编著）；崔愷、景泉等（主编，以版权页为准）</x:v>
      </x:c>
      <x:c r="E7" s="4" t="str">
        <x:v>中国建筑工业出版社</x:v>
      </x:c>
      <x:c r="F7" s="4" t="str">
        <x:v>2024</x:v>
      </x:c>
      <x:c r="G7" s="4" t="str">
        <x:v>已确认</x:v>
      </x:c>
      <x:c r="H7" s="22" t="str">
        <x:v>未取得</x:v>
      </x:c>
      <x:c r="I7" s="22" t="str">
        <x:v>未校阅</x:v>
      </x:c>
      <x:c r="J7" s="4" t="str">
        <x:v>未确认</x:v>
      </x:c>
      <x:c r="K7" s="4" t="str">
        <x:v>两个商品页均与目标ISBN匹配。楽天姓名崔凱原样保留，以ISBN及其他署名交叉消歧，不扩展为无条件姓名别名。没有进入付费正文或成功取得试读；销售权限不等于机器读取授权。</x:v>
      </x:c>
      <x:c r="L7" s="4" t="str">
        <x:v>https://books.rakuten.co.jp/rk/3d4c729a9a4a3a88adbc0c4fbabd6061/</x:v>
      </x:c>
      <x:c r="M7" s="19" t="n">
        <x:v>46305</x:v>
      </x:c>
    </x:row>
  </x:sheetData>
  <x:conditionalFormatting sqref="G2:G7">
    <x:cfRule type="expression" dxfId="0" priority="1">
      <x:formula>G2="已确认"</x:formula>
    </x:cfRule>
  </x:conditionalFormatting>
  <x:dataValidations count="3">
    <x:dataValidation type="list" sqref="G2:G7">
      <x:formula1>"已确认,未确认"</x:formula1>
    </x:dataValidation>
    <x:dataValidation type="list" sqref="H2:H7">
      <x:formula1>"未取得,已取得未核,已完成图文核验"</x:formula1>
    </x:dataValidation>
    <x:dataValidation type="list" sqref="I2:I7">
      <x:formula1>"未校阅,部分校阅,完整校阅"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9cf52174214a4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27" hidden="0" customWidth="1"/>
    <x:col min="4" max="4" width="32" hidden="0" customWidth="1"/>
    <x:col min="5" max="5" width="26" hidden="0" customWidth="1"/>
    <x:col min="6" max="6" width="26" hidden="0" customWidth="1"/>
    <x:col min="7" max="7" width="38" hidden="0" customWidth="1"/>
    <x:col min="8" max="8" width="36" hidden="0" customWidth="1"/>
    <x:col min="9" max="9" width="36" hidden="0" customWidth="1"/>
    <x:col min="10" max="10" width="15" hidden="0" customWidth="1"/>
    <x:col min="11" max="11" width="42" hidden="0" customWidth="1"/>
  </x:cols>
  <x:sheetData>
    <x:row r="1" ht="34" customHeight="1">
      <x:c r="A1" s="9" t="str">
        <x:v>渠道ID</x:v>
      </x:c>
      <x:c r="B1" s="9" t="str">
        <x:v>书ID</x:v>
      </x:c>
      <x:c r="C1" s="9" t="str">
        <x:v>平台／渠道</x:v>
      </x:c>
      <x:c r="D1" s="9" t="str">
        <x:v>核验状态</x:v>
      </x:c>
      <x:c r="E1" s="9" t="str">
        <x:v>电子格式</x:v>
      </x:c>
      <x:c r="F1" s="9" t="str">
        <x:v>保护方式</x:v>
      </x:c>
      <x:c r="G1" s="9" t="str">
        <x:v>书籍身份依据</x:v>
      </x:c>
      <x:c r="H1" s="9" t="str">
        <x:v>访问结果</x:v>
      </x:c>
      <x:c r="I1" s="9" t="str">
        <x:v>试读结果</x:v>
      </x:c>
      <x:c r="J1" s="9" t="str">
        <x:v>能否导入</x:v>
      </x:c>
      <x:c r="K1" s="9" t="str">
        <x:v>原网址</x:v>
      </x:c>
    </x:row>
    <x:row r="2" ht="88" customHeight="1">
      <x:c r="A2" s="12" t="str">
        <x:v>A01</x:v>
      </x:c>
      <x:c r="B2" s="12" t="str">
        <x:v>GU02</x:v>
      </x:c>
      <x:c r="C2" s="12" t="str">
        <x:v>楽天Kobo电子书商店</x:v>
      </x:c>
      <x:c r="D2" s="12" t="str">
        <x:v>CONFIRMED_EBOOK_LISTING</x:v>
      </x:c>
      <x:c r="E2" s="12" t="str">
        <x:v>电子书；具体格式由A02交叉核实</x:v>
      </x:c>
      <x:c r="F2" s="12" t="str">
        <x:v>Adobe DRM（A02）</x:v>
      </x:c>
      <x:c r="G2" s="12" t="str">
        <x:v>书名、商品号9787112303724、景泉、中国建设科技集团</x:v>
      </x:c>
      <x:c r="H2" s="12" t="str">
        <x:v>商品元数据可读；未进入正文</x:v>
      </x:c>
      <x:c r="I2" s="12" t="str">
        <x:v>页面显示预览保存字样，未取得可读试读页</x:v>
      </x:c>
      <x:c r="J2" s="12" t="str">
        <x:v>未确认</x:v>
      </x:c>
      <x:c r="K2" s="12" t="str">
        <x:v>https://books.rakuten.co.jp/rk/3d4c729a9a4a3a88adbc0c4fbabd6061/</x:v>
      </x:c>
    </x:row>
    <x:row r="3" ht="88" customHeight="1">
      <x:c r="A3" s="4" t="str">
        <x:v>A02</x:v>
      </x:c>
      <x:c r="B3" s="4" t="str">
        <x:v>GU02</x:v>
      </x:c>
      <x:c r="C3" s="4" t="str">
        <x:v>bol／Kobo销售体系</x:v>
      </x:c>
      <x:c r="D3" s="4" t="str">
        <x:v>CONFIRMED_EBOOK_LISTING</x:v>
      </x:c>
      <x:c r="E3" s="4" t="str">
        <x:v>EPUB2</x:v>
      </x:c>
      <x:c r="F3" s="4" t="str">
        <x:v>Adobe DRM</x:v>
      </x:c>
      <x:c r="G3" s="4" t="str">
        <x:v>书名、作者、EAN9787112303724</x:v>
      </x:c>
      <x:c r="H3" s="4" t="str">
        <x:v>电子书销售与格式信息可读；未购买</x:v>
      </x:c>
      <x:c r="I3" s="4" t="str">
        <x:v>存在Inkijkexemplaar字样，无可提取正文链接</x:v>
      </x:c>
      <x:c r="J3" s="4" t="str">
        <x:v>未确认</x:v>
      </x:c>
      <x:c r="K3" s="4" t="str">
        <x:v>https://www.bol.com/nl/nl/p/-/9300000239734493/</x:v>
      </x:c>
    </x:row>
    <x:row r="4" ht="88" customHeight="1">
      <x:c r="A4" s="12" t="str">
        <x:v>A03</x:v>
      </x:c>
      <x:c r="B4" s="12" t="str">
        <x:v>GU02</x:v>
      </x:c>
      <x:c r="C4" s="12" t="str">
        <x:v>Kobo国际站（搜索索引）</x:v>
      </x:c>
      <x:c r="D4" s="12" t="str">
        <x:v>INDEX_ONLY_NOT_PAGE_VERIFIED</x:v>
      </x:c>
      <x:c r="E4" s="12" t="str">
        <x:v>索引标示EPUB2</x:v>
      </x:c>
      <x:c r="F4" s="12" t="str">
        <x:v>索引标示Adobe DRM</x:v>
      </x:c>
      <x:c r="G4" s="12" t="str">
        <x:v>搜索索引书名及ISBN吻合；直访失败</x:v>
      </x:c>
      <x:c r="H4" s="12" t="str">
        <x:v>搜索摘要可见，独立页面未成功打开</x:v>
      </x:c>
      <x:c r="I4" s="12" t="str">
        <x:v>未取得</x:v>
      </x:c>
      <x:c r="J4" s="12" t="str">
        <x:v>未确认</x:v>
      </x:c>
      <x:c r="K4" s="12" t="str">
        <x:v>https://www.kobo.com/gb/en/ebook/mnJMPUqaiDqtvAxPur1gYQ</x:v>
      </x:c>
    </x:row>
    <x:row r="5" ht="88" customHeight="1">
      <x:c r="A5" s="4" t="str">
        <x:v>A04</x:v>
      </x:c>
      <x:c r="B5" s="4" t="str">
        <x:v>BD02</x:v>
      </x:c>
      <x:c r="C5" s="4" t="str">
        <x:v>三民网络书店</x:v>
      </x:c>
      <x:c r="D5" s="4" t="str">
        <x:v>PRINT_ONLY_THIS_PAGE</x:v>
      </x:c>
      <x:c r="E5" s="4" t="str">
        <x:v>平装纸本</x:v>
      </x:c>
      <x:c r="F5" s="4" t="str">
        <x:v>不适用</x:v>
      </x:c>
      <x:c r="G5" s="4" t="str">
        <x:v>ISBN9787513041560</x:v>
      </x:c>
      <x:c r="H5" s="4" t="str">
        <x:v>书目信息可读，不是电子书入口</x:v>
      </x:c>
      <x:c r="I5" s="4" t="str">
        <x:v>商品简介而非试读正文</x:v>
      </x:c>
      <x:c r="J5" s="4" t="str">
        <x:v>否，仅元数据</x:v>
      </x:c>
      <x:c r="K5" s="4" t="str">
        <x:v>https://www.sanmin.com.tw/product/index/005813606</x:v>
      </x:c>
    </x:row>
    <x:row r="6" ht="88" customHeight="1">
      <x:c r="A6" s="12" t="str">
        <x:v>A05</x:v>
      </x:c>
      <x:c r="B6" s="12" t="str">
        <x:v>BD03</x:v>
      </x:c>
      <x:c r="C6" s="12" t="str">
        <x:v>新华书店书目链接</x:v>
      </x:c>
      <x:c r="D6" s="12" t="str">
        <x:v>METADATA_ONLY_RETRY_TIMEOUT</x:v>
      </x:c>
      <x:c r="E6" s="12" t="str">
        <x:v>未确认电子格式</x:v>
      </x:c>
      <x:c r="F6" s="12" t="str">
        <x:v>未知</x:v>
      </x:c>
      <x:c r="G6" s="12" t="str">
        <x:v>旧台账及本轮书目检索记录；复查超时</x:v>
      </x:c>
      <x:c r="H6" s="12" t="str">
        <x:v>曾打开书目，最后复查超时；不作为正文证据</x:v>
      </x:c>
      <x:c r="I6" s="12" t="str">
        <x:v>未取得</x:v>
      </x:c>
      <x:c r="J6" s="12" t="str">
        <x:v>未确认</x:v>
      </x:c>
      <x:c r="K6" s="12" t="str">
        <x:v>https://www.96192.com/product/detail/1042804</x:v>
      </x:c>
    </x:row>
    <x:row r="7" ht="88" customHeight="1">
      <x:c r="A7" s="4" t="str">
        <x:v>A06</x:v>
      </x:c>
      <x:c r="B7" s="4" t="str">
        <x:v>GU01</x:v>
      </x:c>
      <x:c r="C7" s="4" t="str">
        <x:v>博客来书目线索</x:v>
      </x:c>
      <x:c r="D7" s="4" t="str">
        <x:v>SEARCH_METADATA_ONLY</x:v>
      </x:c>
      <x:c r="E7" s="4" t="str">
        <x:v>纸本商品线索</x:v>
      </x:c>
      <x:c r="F7" s="4" t="str">
        <x:v>未知</x:v>
      </x:c>
      <x:c r="G7" s="4" t="str">
        <x:v>题名与编者检索结果；直访失败</x:v>
      </x:c>
      <x:c r="H7" s="4" t="str">
        <x:v>搜索摘要可见，独立页未成功读取</x:v>
      </x:c>
      <x:c r="I7" s="4" t="str">
        <x:v>未取得</x:v>
      </x:c>
      <x:c r="J7" s="4" t="str">
        <x:v>未确认</x:v>
      </x:c>
      <x:c r="K7" s="4" t="str">
        <x:v>https://www.books.com.tw/products/CN12376747</x:v>
      </x:c>
    </x:row>
  </x:sheetData>
  <x:pageMargins left="0.7" right="0.7" top="0.75" bottom="0.75" header="0.3" footer="0.3"/>
  <x:tableParts count="1">
    <x:tablePart xmlns:r="http://schemas.openxmlformats.org/officeDocument/2006/relationships" r:id="Rdb76e97f2bbe407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34" hidden="0" customWidth="1"/>
    <x:col min="4" max="4" width="26" hidden="0" customWidth="1"/>
    <x:col min="5" max="5" width="38" hidden="0" customWidth="1"/>
    <x:col min="6" max="6" width="30" hidden="0" customWidth="1"/>
    <x:col min="7" max="7" width="34" hidden="0" customWidth="1"/>
    <x:col min="8" max="8" width="38" hidden="0" customWidth="1"/>
    <x:col min="9" max="9" width="40" hidden="0" customWidth="1"/>
    <x:col min="10" max="10" width="38" hidden="0" customWidth="1"/>
    <x:col min="11" max="11" width="42" hidden="0" customWidth="1"/>
  </x:cols>
  <x:sheetData>
    <x:row r="1" ht="34" customHeight="1">
      <x:c r="A1" s="9" t="str">
        <x:v>证据ID</x:v>
      </x:c>
      <x:c r="B1" s="9" t="str">
        <x:v>旧ID</x:v>
      </x:c>
      <x:c r="C1" s="9" t="str">
        <x:v>标题</x:v>
      </x:c>
      <x:c r="D1" s="9" t="str">
        <x:v>资料类型</x:v>
      </x:c>
      <x:c r="E1" s="9" t="str">
        <x:v>原始署名／发言角色</x:v>
      </x:c>
      <x:c r="F1" s="9" t="str">
        <x:v>发表／平台日期</x:v>
      </x:c>
      <x:c r="G1" s="9" t="str">
        <x:v>实际读取状态</x:v>
      </x:c>
      <x:c r="H1" s="9" t="str">
        <x:v>可支持内容</x:v>
      </x:c>
      <x:c r="I1" s="9" t="str">
        <x:v>使用边界</x:v>
      </x:c>
      <x:c r="J1" s="9" t="str">
        <x:v>定位</x:v>
      </x:c>
      <x:c r="K1" s="9" t="str">
        <x:v>原网址</x:v>
      </x:c>
    </x:row>
    <x:row r="2" ht="88" customHeight="1">
      <x:c r="A2" s="12" t="str">
        <x:v>E01</x:v>
      </x:c>
      <x:c r="B2" s="12" t="str">
        <x:v>S001</x:v>
      </x:c>
      <x:c r="C2" s="12" t="str">
        <x:v>对建筑本土设计的思考</x:v>
      </x:c>
      <x:c r="D2" s="12" t="str">
        <x:v>本人署名文章</x:v>
      </x:c>
      <x:c r="E2" s="12" t="str">
        <x:v>崔愷</x:v>
      </x:c>
      <x:c r="F2" s="12" t="str">
        <x:v>2013-12-09</x:v>
      </x:c>
      <x:c r="G2" s="12" t="str">
        <x:v>ARTICLE_READ</x:v>
      </x:c>
      <x:c r="H2" s="12" t="str">
        <x:v>自然与人文场地、得体性、材料与技术</x:v>
      </x:c>
      <x:c r="I2" s="12" t="str">
        <x:v>署名正文；网页只是一篇文章，不是书籍正文</x:v>
      </x:c>
      <x:c r="J2" s="12" t="str">
        <x:v>网页单篇正文</x:v>
      </x:c>
      <x:c r="K2" s="12" t="str">
        <x:v>https://news.sciencenet.cn/sbhtmlnews/2013/12/281066.shtm</x:v>
      </x:c>
    </x:row>
    <x:row r="3" ht="88" customHeight="1">
      <x:c r="A3" s="4" t="str">
        <x:v>E02</x:v>
      </x:c>
      <x:c r="B3" s="4" t="str">
        <x:v>S005</x:v>
      </x:c>
      <x:c r="C3" s="4" t="str">
        <x:v>UED第148期：对话崔愷</x:v>
      </x:c>
      <x:c r="D3" s="4" t="str">
        <x:v>本人访谈节选</x:v>
      </x:c>
      <x:c r="E3" s="4" t="str">
        <x:v>答者崔愷；问者孔宇航；编者另列</x:v>
      </x:c>
      <x:c r="F3" s="4" t="str">
        <x:v>2024年4月刊背景；网页无精确日</x:v>
      </x:c>
      <x:c r="G3" s="4" t="str">
        <x:v>EXCERPT_READ</x:v>
      </x:c>
      <x:c r="H3" s="4" t="str">
        <x:v>气候适应、定量验证；问者解读不能归于答者</x:v>
      </x:c>
      <x:c r="I3" s="4" t="str">
        <x:v>仅公开问答节选；未获取整期杂志或Ⅲ／Ⅳ全书</x:v>
      </x:c>
      <x:c r="J3" s="4" t="str">
        <x:v>对话崔愷，三组问答</x:v>
      </x:c>
      <x:c r="K3" s="4" t="str">
        <x:v>https://www.uedmagazine.net/?a=index&amp;aid=3452&amp;c=View&amp;m=home</x:v>
      </x:c>
    </x:row>
    <x:row r="4" ht="88" customHeight="1">
      <x:c r="A4" s="12" t="str">
        <x:v>E03</x:v>
      </x:c>
      <x:c r="B4" s="12" t="str">
        <x:v>S006</x:v>
      </x:c>
      <x:c r="C4" s="12" t="str">
        <x:v>写在《城市更新绿色指引》发布之际</x:v>
      </x:c>
      <x:c r="D4" s="12" t="str">
        <x:v>序言及团队署名书介</x:v>
      </x:c>
      <x:c r="E4" s="12" t="str">
        <x:v>崔愷／任祖华／景泉，分段归属</x:v>
      </x:c>
      <x:c r="F4" s="12" t="str">
        <x:v>2024-11-16</x:v>
      </x:c>
      <x:c r="G4" s="12" t="str">
        <x:v>EXCERPT_AND_FIGURES_READ</x:v>
      </x:c>
      <x:c r="H4" s="12" t="str">
        <x:v>存量路径、流程方法实践、协同与时序</x:v>
      </x:c>
      <x:c r="I4" s="12" t="str">
        <x:v>已读公开文字和另列三张图；不是两分册完整正文</x:v>
      </x:c>
      <x:c r="J4" s="12" t="str">
        <x:v>序言；任祖华署名段；景泉署名段</x:v>
      </x:c>
      <x:c r="K4" s="12" t="str">
        <x:v>https://www.thepaper.cn/newsDetail_forward_29371934</x:v>
      </x:c>
    </x:row>
    <x:row r="5" ht="88" customHeight="1">
      <x:c r="A5" s="4" t="str">
        <x:v>E04</x:v>
      </x:c>
      <x:c r="B5" s="4" t="str">
        <x:v>S004</x:v>
      </x:c>
      <x:c r="C5" s="4" t="str">
        <x:v>本土设计研究中心20年展览暨新书发布</x:v>
      </x:c>
      <x:c r="D5" s="4" t="str">
        <x:v>团队官方报道</x:v>
      </x:c>
      <x:c r="E5" s="4" t="str">
        <x:v>中国建设科技集团</x:v>
      </x:c>
      <x:c r="F5" s="4" t="str">
        <x:v>2023-11-25</x:v>
      </x:c>
      <x:c r="G5" s="4" t="str">
        <x:v>ARTICLE_READ</x:v>
      </x:c>
      <x:c r="H5" s="4" t="str">
        <x:v>七大主题与两本新著的侧重</x:v>
      </x:c>
      <x:c r="I5" s="4" t="str">
        <x:v>出版与展览主题信息；不证明逐章读过Ⅲ／Ⅳ</x:v>
      </x:c>
      <x:c r="J5" s="4" t="str">
        <x:v>展览导览；新书发布会</x:v>
      </x:c>
      <x:c r="K5" s="4" t="str">
        <x:v>https://www.cctc.cn/jtyw/2023/85810.shtml</x:v>
      </x:c>
    </x:row>
    <x:row r="6" ht="88" customHeight="1">
      <x:c r="A6" s="12" t="str">
        <x:v>E05</x:v>
      </x:c>
      <x:c r="B6" s="12" t="str">
        <x:v>S012</x:v>
      </x:c>
      <x:c r="C6" s="12" t="str">
        <x:v>西安大华1935</x:v>
      </x:c>
      <x:c r="D6" s="12" t="str">
        <x:v>团队官方项目说明</x:v>
      </x:c>
      <x:c r="E6" s="12" t="str">
        <x:v>原页合作建筑师名录；未单列崔愷主创</x:v>
      </x:c>
      <x:c r="F6" s="12" t="str">
        <x:v>网页未标刊登日</x:v>
      </x:c>
      <x:c r="G6" s="12" t="str">
        <x:v>PROJECT_TEXT_READ</x:v>
      </x:c>
      <x:c r="H6" s="12" t="str">
        <x:v>差异化加减法</x:v>
      </x:c>
      <x:c r="I6" s="12" t="str">
        <x:v>本轮重读文字；未核全部图纸与使用后绩效</x:v>
      </x:c>
      <x:c r="J6" s="12" t="str">
        <x:v>项目说明第2—3段；合作建筑师名录</x:v>
      </x:c>
      <x:c r="K6" s="12" t="str">
        <x:v>https://cuikaistudio.cadg.com.cn/pro/173/</x:v>
      </x:c>
    </x:row>
    <x:row r="7" ht="88" customHeight="1">
      <x:c r="A7" s="4" t="str">
        <x:v>E06</x:v>
      </x:c>
      <x:c r="B7" s="4" t="str">
        <x:v>S013</x:v>
      </x:c>
      <x:c r="C7" s="4" t="str">
        <x:v>湖南永顺老司城遗址游客服务中心</x:v>
      </x:c>
      <x:c r="D7" s="4" t="str">
        <x:v>团队官方项目说明</x:v>
      </x:c>
      <x:c r="E7" s="4" t="str">
        <x:v>建筑设计：崔愷、张男、李喆</x:v>
      </x:c>
      <x:c r="F7" s="4" t="str">
        <x:v>网页未标刊登日</x:v>
      </x:c>
      <x:c r="G7" s="4" t="str">
        <x:v>PROJECT_TEXT_READ</x:v>
      </x:c>
      <x:c r="H7" s="4" t="str">
        <x:v>地域工艺、钢结构与工期协同</x:v>
      </x:c>
      <x:c r="I7" s="4" t="str">
        <x:v>本轮重读文字；未核全部图纸与工程数据</x:v>
      </x:c>
      <x:c r="J7" s="4" t="str">
        <x:v>项目说明及建筑设计署名</x:v>
      </x:c>
      <x:c r="K7" s="4" t="str">
        <x:v>https://cuikaistudio.cadg.com.cn/pro/239/</x:v>
      </x:c>
    </x:row>
    <x:row r="8" ht="88" customHeight="1">
      <x:c r="A8" s="12" t="str">
        <x:v>E07</x:v>
      </x:c>
      <x:c r="B8" s="12" t="str"/>
      <x:c r="C8" s="12" t="str">
        <x:v>城市更新绿色指引 多专业分册｜楽天Kobo</x:v>
      </x:c>
      <x:c r="D8" s="12" t="str">
        <x:v>电子书销售元数据</x:v>
      </x:c>
      <x:c r="E8" s="12" t="str">
        <x:v>平台写崔凱、景泉；编辑中国建设科技集团</x:v>
      </x:c>
      <x:c r="F8" s="12" t="str">
        <x:v>平台发行2025-09-02</x:v>
      </x:c>
      <x:c r="G8" s="12" t="str">
        <x:v>EBOOK_LISTING_CONFIRMED</x:v>
      </x:c>
      <x:c r="H8" s="12" t="str">
        <x:v>证明有电子书渠道，不能证明取得或允许全文导入</x:v>
      </x:c>
      <x:c r="I8" s="12" t="str">
        <x:v>商品号9787112303724匹配；没有进入正文</x:v>
      </x:c>
      <x:c r="J8" s="12" t="str">
        <x:v>商品情報：電子書籍版／発売日／商品番号</x:v>
      </x:c>
      <x:c r="K8" s="12" t="str">
        <x:v>https://books.rakuten.co.jp/rk/3d4c729a9a4a3a88adbc0c4fbabd6061/</x:v>
      </x:c>
    </x:row>
    <x:row r="9" ht="88" customHeight="1">
      <x:c r="A9" s="4" t="str">
        <x:v>E08</x:v>
      </x:c>
      <x:c r="B9" s="4" t="str"/>
      <x:c r="C9" s="4" t="str">
        <x:v>城市更新绿色指引 多专业分册｜bol</x:v>
      </x:c>
      <x:c r="D9" s="4" t="str">
        <x:v>电子书销售元数据</x:v>
      </x:c>
      <x:c r="E9" s="4" t="str">
        <x:v>崔愷、景泉；编辑中国建设科技集团</x:v>
      </x:c>
      <x:c r="F9" s="4" t="str">
        <x:v>商品原始发行日2024-07-01</x:v>
      </x:c>
      <x:c r="G9" s="4" t="str">
        <x:v>EBOOK_LISTING_CONFIRMED</x:v>
      </x:c>
      <x:c r="H9" s="4" t="str">
        <x:v>电子格式与访问限制；不作为书内论述</x:v>
      </x:c>
      <x:c r="I9" s="4" t="str">
        <x:v>ISBN匹配；明确EPUB2、Adobe DRM；未取得试读正文</x:v>
      </x:c>
      <x:c r="J9" s="4" t="str">
        <x:v>Productspecificaties：EPUB2／Ebook beveiliging／EAN</x:v>
      </x:c>
      <x:c r="K9" s="4" t="str">
        <x:v>https://www.bol.com/nl/nl/p/-/9300000239734493/</x:v>
      </x:c>
    </x:row>
    <x:row r="10" ht="88" customHeight="1">
      <x:c r="A10" s="12" t="str">
        <x:v>E09</x:v>
      </x:c>
      <x:c r="B10" s="12" t="str"/>
      <x:c r="C10" s="12" t="str">
        <x:v>城市更新绿色指引总体思路（公开图）</x:v>
      </x:c>
      <x:c r="D10" s="12" t="str">
        <x:v>团队公开框架图</x:v>
      </x:c>
      <x:c r="E10" s="12" t="str">
        <x:v>图示未列独立作者；随E03发布</x:v>
      </x:c>
      <x:c r="F10" s="12" t="str">
        <x:v>2024-11-16随文发布</x:v>
      </x:c>
      <x:c r="G10" s="12" t="str">
        <x:v>FIGURE_VISUALLY_REVIEWED</x:v>
      </x:c>
      <x:c r="H10" s="12" t="str">
        <x:v>知识组织层级与工作阶段</x:v>
      </x:c>
      <x:c r="I10" s="12" t="str">
        <x:v>已视觉检查整张；小字不清处不转录；无书内页码</x:v>
      </x:c>
      <x:c r="J10" s="12" t="str">
        <x:v>图上五个左侧主栏目与实施路径区</x:v>
      </x:c>
      <x:c r="K10" s="12" t="str">
        <x:v>https://imagepphcloud.thepaper.cn/pph/image/330/136/681.jpg</x:v>
      </x:c>
    </x:row>
    <x:row r="11" ht="88" customHeight="1">
      <x:c r="A11" s="4" t="str">
        <x:v>E10</x:v>
      </x:c>
      <x:c r="B11" s="4" t="str"/>
      <x:c r="C11" s="4" t="str">
        <x:v>目标协同（公开图）</x:v>
      </x:c>
      <x:c r="D11" s="4" t="str">
        <x:v>团队公开框架图</x:v>
      </x:c>
      <x:c r="E11" s="4" t="str">
        <x:v>图示未列独立作者；随E03发布</x:v>
      </x:c>
      <x:c r="F11" s="4" t="str">
        <x:v>2024-11-16随文发布</x:v>
      </x:c>
      <x:c r="G11" s="4" t="str">
        <x:v>FIGURE_VISUALLY_REVIEWED</x:v>
      </x:c>
      <x:c r="H11" s="4" t="str">
        <x:v>价值与目标不是一一映射</x:v>
      </x:c>
      <x:c r="I11" s="4" t="str">
        <x:v>已视觉检查；不能自动扩充成全书策略清单</x:v>
      </x:c>
      <x:c r="J11" s="4" t="str">
        <x:v>左右主框及中间关系带</x:v>
      </x:c>
      <x:c r="K11" s="4" t="str">
        <x:v>https://imagepphcloud.thepaper.cn/pph/image/330/136/710.jpg</x:v>
      </x:c>
    </x:row>
    <x:row r="12" ht="88" customHeight="1">
      <x:c r="A12" s="12" t="str">
        <x:v>E11</x:v>
      </x:c>
      <x:c r="B12" s="12" t="str"/>
      <x:c r="C12" s="12" t="str">
        <x:v>城市更新专业设置逻辑图（规划、建筑除外）</x:v>
      </x:c>
      <x:c r="D12" s="12" t="str">
        <x:v>团队公开框架图</x:v>
      </x:c>
      <x:c r="E12" s="12" t="str">
        <x:v>图示未列独立作者；随E03发布</x:v>
      </x:c>
      <x:c r="F12" s="12" t="str">
        <x:v>2024-11-16随文发布</x:v>
      </x:c>
      <x:c r="G12" s="12" t="str">
        <x:v>FIGURE_VISUALLY_REVIEWED</x:v>
      </x:c>
      <x:c r="H12" s="12" t="str">
        <x:v>资源、专业、更新要素关联</x:v>
      </x:c>
      <x:c r="I12" s="12" t="str">
        <x:v>已视觉检查；保留图题排除范围；不是所有专业全集</x:v>
      </x:c>
      <x:c r="J12" s="12" t="str">
        <x:v>中部八专业主框；图底分册编码表</x:v>
      </x:c>
      <x:c r="K12" s="12" t="str">
        <x:v>https://imagepphcloud.thepaper.cn/pph/image/330/136/711.jpg</x:v>
      </x:c>
    </x:row>
    <x:row r="13" ht="88" customHeight="1">
      <x:c r="A13" s="4" t="str">
        <x:v>E12</x:v>
      </x:c>
      <x:c r="B13" s="4" t="str"/>
      <x:c r="C13" s="4" t="str">
        <x:v>本土設計Ⅱ｜三民书目</x:v>
      </x:c>
      <x:c r="D13" s="4" t="str">
        <x:v>纸质书销售元数据</x:v>
      </x:c>
      <x:c r="E13" s="4" t="str">
        <x:v>崔愷</x:v>
      </x:c>
      <x:c r="F13" s="4" t="str">
        <x:v>2016-05-01书目日期</x:v>
      </x:c>
      <x:c r="G13" s="4" t="str">
        <x:v>PRINT_METADATA_CONFIRMED</x:v>
      </x:c>
      <x:c r="H13" s="4" t="str">
        <x:v>纸质书身份；不证明存在电子版</x:v>
      </x:c>
      <x:c r="I13" s="4" t="str">
        <x:v>9787513041560；平装368页；未找到该页电子版入口</x:v>
      </x:c>
      <x:c r="J13" s="4" t="str">
        <x:v>ISBN13／装订页数／商品简介</x:v>
      </x:c>
      <x:c r="K13" s="4" t="str">
        <x:v>https://www.sanmin.com.tw/product/index/005813606</x:v>
      </x:c>
    </x:row>
    <x:row r="14" ht="88" customHeight="1">
      <x:c r="A14" s="12" t="str">
        <x:v>E13</x:v>
      </x:c>
      <x:c r="B14" s="12" t="str"/>
      <x:c r="C14" s="12" t="str">
        <x:v>Agent Skills Specification</x:v>
      </x:c>
      <x:c r="D14" s="12" t="str">
        <x:v>运行格式规范</x:v>
      </x:c>
      <x:c r="E14" s="12" t="str">
        <x:v>Agent Skills项目</x:v>
      </x:c>
      <x:c r="F14" s="12" t="str">
        <x:v>动态网页，本轮核查</x:v>
      </x:c>
      <x:c r="G14" s="12" t="str">
        <x:v>SPEC_READ</x:v>
      </x:c>
      <x:c r="H14" s="12" t="str">
        <x:v>目录名和name一致；渐进式读取</x:v>
      </x:c>
      <x:c r="I14" s="12" t="str">
        <x:v>只用于打包与指令格式；不是建筑方法来源</x:v>
      </x:c>
      <x:c r="J14" s="12" t="str">
        <x:v>name field；progressive disclosure</x:v>
      </x:c>
      <x:c r="K14" s="12" t="str">
        <x:v>https://agentskills.io/specification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6d43c40c3ccc461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38" hidden="0" customWidth="1"/>
    <x:col min="5" max="5" width="40" hidden="0" customWidth="1"/>
    <x:col min="6" max="6" width="36" hidden="0" customWidth="1"/>
    <x:col min="7" max="7" width="40" hidden="0" customWidth="1"/>
    <x:col min="8" max="8" width="40" hidden="0" customWidth="1"/>
    <x:col min="9" max="9" width="40" hidden="0" customWidth="1"/>
    <x:col min="10" max="10" width="18" hidden="0" customWidth="1"/>
    <x:col min="11" max="11" width="42" hidden="0" customWidth="1"/>
    <x:col min="12" max="12" width="32" hidden="0" customWidth="1"/>
  </x:cols>
  <x:sheetData>
    <x:row r="1" ht="34" customHeight="1">
      <x:c r="A1" s="9" t="str">
        <x:v>操作ID</x:v>
      </x:c>
      <x:c r="B1" s="9" t="str">
        <x:v>名称</x:v>
      </x:c>
      <x:c r="C1" s="9" t="str">
        <x:v>触发任务</x:v>
      </x:c>
      <x:c r="D1" s="9" t="str">
        <x:v>输入</x:v>
      </x:c>
      <x:c r="E1" s="9" t="str">
        <x:v>设计操作</x:v>
      </x:c>
      <x:c r="F1" s="9" t="str">
        <x:v>交付成果</x:v>
      </x:c>
      <x:c r="G1" s="9" t="str">
        <x:v>证据边界</x:v>
      </x:c>
      <x:c r="H1" s="9" t="str">
        <x:v>反例／例外</x:v>
      </x:c>
      <x:c r="I1" s="9" t="str">
        <x:v>检验方法</x:v>
      </x:c>
      <x:c r="J1" s="9" t="str">
        <x:v>依据ID</x:v>
      </x:c>
      <x:c r="K1" s="9" t="str">
        <x:v>原始来源</x:v>
      </x:c>
      <x:c r="L1" s="9" t="str">
        <x:v>知识性质</x:v>
      </x:c>
    </x:row>
    <x:row r="2" ht="104" customHeight="1">
      <x:c r="A2" s="12" t="str">
        <x:v>W01</x:v>
      </x:c>
      <x:c r="B2" s="12" t="str">
        <x:v>场地事实与任务边界</x:v>
      </x:c>
      <x:c r="C2" s="12" t="str">
        <x:v>任何新任务；先做项目诊断，不先找造型</x:v>
      </x:c>
      <x:c r="D2" s="12" t="str">
        <x:v>位置、现状图、使用人群、时间窗口、功能与投资边界</x:v>
      </x:c>
      <x:c r="E2" s="12" t="str">
        <x:v>将事实、合理假设、待核信息分栏；每个问题绑定事实来源与日期。</x:v>
      </x:c>
      <x:c r="F2" s="12" t="str">
        <x:v>项目边界卡；最多3项决定方案方向的缺口</x:v>
      </x:c>
      <x:c r="G2" s="12" t="str">
        <x:v>场地资料不足时仅给条件性判断，不虚构历史风貌或居民需求</x:v>
      </x:c>
      <x:c r="H2" s="12" t="str">
        <x:v>已有准确任务书也须检验是否忽略场地与使用者</x:v>
      </x:c>
      <x:c r="I2" s="12" t="str">
        <x:v>每个首要矛盾能回到至少一项现场事实；不相关的地域符号删去</x:v>
      </x:c>
      <x:c r="J2" s="12" t="str">
        <x:v>E01</x:v>
      </x:c>
      <x:c r="K2" s="12" t="str">
        <x:v>https://news.sciencenet.cn/sbhtmlnews/2013/12/281066.shtm</x:v>
      </x:c>
      <x:c r="L2" s="12" t="str">
        <x:v>研究者操作化，非原著命名流程</x:v>
      </x:c>
    </x:row>
    <x:row r="3" ht="104" customHeight="1">
      <x:c r="A3" s="4" t="str">
        <x:v>W02</x:v>
      </x:c>
      <x:c r="B3" s="4" t="str">
        <x:v>资源—问题—目标对应</x:v>
      </x:c>
      <x:c r="C3" s="4" t="str">
        <x:v>概念启动、更新策划或方案复核</x:v>
      </x:c>
      <x:c r="D3" s="4" t="str">
        <x:v>资源、使用痛点、法规硬约束、冲突方诉求</x:v>
      </x:c>
      <x:c r="E3" s="4" t="str">
        <x:v>把可利用资源与关键矛盾对应；目标写成可检验的改善而非形容词。</x:v>
      </x:c>
      <x:c r="F3" s="4" t="str">
        <x:v>资源／矛盾／目标／证据四列表</x:v>
      </x:c>
      <x:c r="G3" s="4" t="str">
        <x:v>图示价值观不是现成的目标权重；权重由项目协商</x:v>
      </x:c>
      <x:c r="H3" s="4" t="str">
        <x:v>同一场地可能有相冲突的目标，不能预设绿化越多越好</x:v>
      </x:c>
      <x:c r="I3" s="4" t="str">
        <x:v>明确至少一个目标之间的冲突和可接受的取舍条件</x:v>
      </x:c>
      <x:c r="J3" s="4" t="str">
        <x:v>E01;E09;E10</x:v>
      </x:c>
      <x:c r="K3" s="4" t="str">
        <x:v>https://news.sciencenet.cn/sbhtmlnews/2013/12/281066.shtm
https://imagepphcloud.thepaper.cn/pph/image/330/136/681.jpg
https://imagepphcloud.thepaper.cn/pph/image/330/136/710.jpg</x:v>
      </x:c>
      <x:c r="L3" s="4" t="str">
        <x:v>研究者操作化，非原著命名流程</x:v>
      </x:c>
    </x:row>
    <x:row r="4" ht="104" customHeight="1">
      <x:c r="A4" s="12" t="str">
        <x:v>W03</x:v>
      </x:c>
      <x:c r="B4" s="12" t="str">
        <x:v>分类保留与干预</x:v>
      </x:c>
      <x:c r="C4" s="12" t="str">
        <x:v>既有街区、工业遗产、公共建筑改造</x:v>
      </x:c>
      <x:c r="D4" s="12" t="str">
        <x:v>建筑年代、价值、结构状态、使用适配、产权及保护范围</x:v>
      </x:c>
      <x:c r="E4" s="12" t="str">
        <x:v>先分对象和价值，再比较保留修缮、局部拆改、连接、增建、暂停；不要整体套用拆或留。</x:v>
      </x:c>
      <x:c r="F4" s="12" t="str">
        <x:v>建筑／空间逐项动作表；红线与条件事项</x:v>
      </x:c>
      <x:c r="G4" s="12" t="str">
        <x:v>安全、文保和手续需专门核验；项目说明不能转成该项目的审批结论</x:v>
      </x:c>
      <x:c r="H4" s="12" t="str">
        <x:v>不得因旧就拆；不得因历史就无条件留；保留成本未知时标缺口</x:v>
      </x:c>
      <x:c r="I4" s="12" t="str">
        <x:v>各动作均写证据、代价、前置检查；减法改善通行的判断须有图纸支撑</x:v>
      </x:c>
      <x:c r="J4" s="12" t="str">
        <x:v>E05;E03</x:v>
      </x:c>
      <x:c r="K4" s="12" t="str">
        <x:v>https://cuikaistudio.cadg.com.cn/pro/173/
https://www.thepaper.cn/newsDetail_forward_29371934</x:v>
      </x:c>
      <x:c r="L4" s="12" t="str">
        <x:v>研究者操作化，非原著命名流程</x:v>
      </x:c>
    </x:row>
    <x:row r="5" ht="104" customHeight="1">
      <x:c r="A5" s="4" t="str">
        <x:v>W04</x:v>
      </x:c>
      <x:c r="B5" s="4" t="str">
        <x:v>方案差异来自决策而非外观</x:v>
      </x:c>
      <x:c r="C5" s="4" t="str">
        <x:v>有多个空间或投资路径的复杂任务</x:v>
      </x:c>
      <x:c r="D5" s="4" t="str">
        <x:v>W01—03、场地边界、可核算指标</x:v>
      </x:c>
      <x:c r="E5" s="4" t="str">
        <x:v>比较运营／低干预基线、适度更新和较强干预；每套改变空间组织或实施方式，而不是只换材质。</x:v>
      </x:c>
      <x:c r="F5" s="4" t="str">
        <x:v>方案比较表和关键平剖面验证清单</x:v>
      </x:c>
      <x:c r="G5" s="4" t="str">
        <x:v>这是研究者制定的比较程序，非院士命名模型；单问题可只比较两种动作</x:v>
      </x:c>
      <x:c r="H5" s="4" t="str">
        <x:v>某场地确需新建时不要为本土标签强行保留低价值障碍</x:v>
      </x:c>
      <x:c r="I5" s="4" t="str">
        <x:v>先做硬约束淘汰，再比较功能、公共性、全周期代价；未知值不可默认为0</x:v>
      </x:c>
      <x:c r="J5" s="4" t="str">
        <x:v>E01;E05</x:v>
      </x:c>
      <x:c r="K5" s="4" t="str">
        <x:v>https://news.sciencenet.cn/sbhtmlnews/2013/12/281066.shtm
https://cuikaistudio.cadg.com.cn/pro/173/</x:v>
      </x:c>
      <x:c r="L5" s="4" t="str">
        <x:v>研究者操作化，非原著命名流程</x:v>
      </x:c>
    </x:row>
    <x:row r="6" ht="104" customHeight="1">
      <x:c r="A6" s="12" t="str">
        <x:v>W05</x:v>
      </x:c>
      <x:c r="B6" s="12" t="str">
        <x:v>气候响应与性能核验</x:v>
      </x:c>
      <x:c r="C6" s="12" t="str">
        <x:v>任何绿色设计主张</x:v>
      </x:c>
      <x:c r="D6" s="12" t="str">
        <x:v>当地气象、朝向、使用时段、体形、围护和系统基准</x:v>
      </x:c>
      <x:c r="E6" s="12" t="str">
        <x:v>先提出空间与被动措施，再说明系统适配；区分机理判断、模型输入、模拟结果和实测值。</x:v>
      </x:c>
      <x:c r="F6" s="12" t="str">
        <x:v>措施／作用机理／输入／方法／判据／核验责任人</x:v>
      </x:c>
      <x:c r="G6" s="12" t="str">
        <x:v>只有公开访谈而无书内算法；不得生成所谓《本土设计Ⅳ》公式</x:v>
      </x:c>
      <x:c r="H6" s="12" t="str">
        <x:v>遮阳、开敞、自然通风存在季节、噪声、安全及维护约束</x:v>
      </x:c>
      <x:c r="I6" s="12" t="str">
        <x:v>没有模型和基准时仅提供计算计划；节能率和成本一律写待验证</x:v>
      </x:c>
      <x:c r="J6" s="12" t="str">
        <x:v>E02</x:v>
      </x:c>
      <x:c r="K6" s="12" t="str">
        <x:v>https://www.uedmagazine.net/?a=index&amp;aid=3452&amp;c=View&amp;m=home</x:v>
      </x:c>
      <x:c r="L6" s="12" t="str">
        <x:v>研究者操作化，非原著命名流程</x:v>
      </x:c>
    </x:row>
    <x:row r="7" ht="104" customHeight="1">
      <x:c r="A7" s="4" t="str">
        <x:v>W06</x:v>
      </x:c>
      <x:c r="B7" s="4" t="str">
        <x:v>工艺转译与可建造性</x:v>
      </x:c>
      <x:c r="C7" s="4" t="str">
        <x:v>地域表达、乡村建筑、工期敏感场景</x:v>
      </x:c>
      <x:c r="D7" s="4" t="str">
        <x:v>地方材料、可参与工匠、结构体系、供应链、工期</x:v>
      </x:c>
      <x:c r="E7" s="4" t="str">
        <x:v>将地域资源转成材料／节点／施工组织选项；以样板、耐久与维护检查决定表达，不直接复制形状。</x:v>
      </x:c>
      <x:c r="F7" s="4" t="str">
        <x:v>材料工艺适配卡、样板验证和替代方案</x:v>
      </x:c>
      <x:c r="G7" s="4" t="str">
        <x:v>老司城项目钢结构的原因只属于该案例；不能证明所有地域项目都该用钢</x:v>
      </x:c>
      <x:c r="H7" s="4" t="str">
        <x:v>成本、施工队伍和防火条件不满足时更换做法，不强行追求手工感</x:v>
      </x:c>
      <x:c r="I7" s="4" t="str">
        <x:v>至少核一项节点性能、一项现场组织条件及一项长期维护风险</x:v>
      </x:c>
      <x:c r="J7" s="4" t="str">
        <x:v>E06</x:v>
      </x:c>
      <x:c r="K7" s="4" t="str">
        <x:v>https://cuikaistudio.cadg.com.cn/pro/239/</x:v>
      </x:c>
      <x:c r="L7" s="4" t="str">
        <x:v>研究者操作化，非原著命名流程</x:v>
      </x:c>
    </x:row>
    <x:row r="8" ht="104" customHeight="1">
      <x:c r="A8" s="12" t="str">
        <x:v>W07</x:v>
      </x:c>
      <x:c r="B8" s="12" t="str">
        <x:v>多专业接口与任务移交</x:v>
      </x:c>
      <x:c r="C8" s="12" t="str">
        <x:v>方案需专业协同或更新工程接口多</x:v>
      </x:c>
      <x:c r="D8" s="12" t="str">
        <x:v>更新要素、管网与结构资料、专业责任、建设阶段</x:v>
      </x:c>
      <x:c r="E8" s="12" t="str">
        <x:v>以问题为行连接规划建筑及相关专业，记录输入、牵头、协作、交付和关闭条件；图中的八专业不包含规划建筑。</x:v>
      </x:c>
      <x:c r="F8" s="12" t="str">
        <x:v>问题—专业—输入—输出—前置条件—状态接口表</x:v>
      </x:c>
      <x:c r="G8" s="12" t="str">
        <x:v>专业图没有提供每项工程的详细技术参数；不得按图补写缺失条文</x:v>
      </x:c>
      <x:c r="H8" s="12" t="str">
        <x:v>不是列出八个专业名字就叫协同；每条接口需有待解决问题</x:v>
      </x:c>
      <x:c r="I8" s="12" t="str">
        <x:v>节点设计前先确认结构、机电、市政和运营的冲突已被分配责任</x:v>
      </x:c>
      <x:c r="J8" s="12" t="str">
        <x:v>E03;E11</x:v>
      </x:c>
      <x:c r="K8" s="12" t="str">
        <x:v>https://www.thepaper.cn/newsDetail_forward_29371934
https://imagepphcloud.thepaper.cn/pph/image/330/136/711.jpg</x:v>
      </x:c>
      <x:c r="L8" s="12" t="str">
        <x:v>研究者操作化，非原著命名流程</x:v>
      </x:c>
    </x:row>
    <x:row r="9" ht="104" customHeight="1">
      <x:c r="A9" s="4" t="str">
        <x:v>W08</x:v>
      </x:c>
      <x:c r="B9" s="4" t="str">
        <x:v>建设时序与使用后反馈</x:v>
      </x:c>
      <x:c r="C9" s="4" t="str">
        <x:v>持续运营的更新或分期工程</x:v>
      </x:c>
      <x:c r="D9" s="4" t="str">
        <x:v>投资上限、使用连续性、施工分区、管理与维护责任</x:v>
      </x:c>
      <x:c r="E9" s="4" t="str">
        <x:v>按调查、设计、施工、使用反馈设置交付检查；把短期可逆措施与永久建设分开；为后评价设采集方法。</x:v>
      </x:c>
      <x:c r="F9" s="4" t="str">
        <x:v>分期行动表、维持运营措施和后评价计划</x:v>
      </x:c>
      <x:c r="G9" s="4" t="str">
        <x:v>发布框架只支持阶段存在，不支持具体建设工期和收益数值</x:v>
      </x:c>
      <x:c r="H9" s="4" t="str">
        <x:v>运营方未知时不能宣布公共空间长期开放或持续盈利</x:v>
      </x:c>
      <x:c r="I9" s="4" t="str">
        <x:v>对每项社会与环境预期列可测指标、基线和负责者；无实测不宣称成效</x:v>
      </x:c>
      <x:c r="J9" s="4" t="str">
        <x:v>E03;E09</x:v>
      </x:c>
      <x:c r="K9" s="4" t="str">
        <x:v>https://www.thepaper.cn/newsDetail_forward_29371934
https://imagepphcloud.thepaper.cn/pph/image/330/136/681.jpg</x:v>
      </x:c>
      <x:c r="L9" s="4" t="str">
        <x:v>研究者操作化，非原著命名流程</x:v>
      </x:c>
    </x:row>
  </x:sheetData>
  <x:pageMargins left="0.7" right="0.7" top="0.75" bottom="0.75" header="0.3" footer="0.3"/>
  <x:tableParts count="1">
    <x:tablePart xmlns:r="http://schemas.openxmlformats.org/officeDocument/2006/relationships" r:id="Ra454f81935cb480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0" hidden="0" customWidth="1"/>
    <x:col min="4" max="4" width="20" hidden="0" customWidth="1"/>
    <x:col min="5" max="5" width="28" hidden="0" customWidth="1"/>
    <x:col min="6" max="6" width="38" hidden="0" customWidth="1"/>
    <x:col min="7" max="7" width="40" hidden="0" customWidth="1"/>
    <x:col min="8" max="8" width="45" hidden="0" customWidth="1"/>
  </x:cols>
  <x:sheetData>
    <x:row r="1" ht="34" customHeight="1">
      <x:c r="A1" s="9" t="str">
        <x:v>图ID</x:v>
      </x:c>
      <x:c r="B1" s="9" t="str">
        <x:v>来源ID</x:v>
      </x:c>
      <x:c r="C1" s="9" t="str">
        <x:v>公开图示名称</x:v>
      </x:c>
      <x:c r="D1" s="9" t="str">
        <x:v>视觉检查</x:v>
      </x:c>
      <x:c r="E1" s="9" t="str">
        <x:v>书内页码</x:v>
      </x:c>
      <x:c r="F1" s="9" t="str">
        <x:v>可以支持</x:v>
      </x:c>
      <x:c r="G1" s="9" t="str">
        <x:v>不可推导</x:v>
      </x:c>
      <x:c r="H1" s="9" t="str">
        <x:v>原图网址</x:v>
      </x:c>
    </x:row>
    <x:row r="2" ht="88" customHeight="1">
      <x:c r="A2" s="12" t="str">
        <x:v>F01</x:v>
      </x:c>
      <x:c r="B2" s="12" t="str">
        <x:v>E09</x:v>
      </x:c>
      <x:c r="C2" s="12" t="str">
        <x:v>城市更新绿色指引总体思路</x:v>
      </x:c>
      <x:c r="D2" s="12" t="str">
        <x:v>已视觉检查</x:v>
      </x:c>
      <x:c r="E2" s="12" t="str">
        <x:v>未确认；不得补写</x:v>
      </x:c>
      <x:c r="F2" s="12" t="str">
        <x:v>主层级与实施阶段</x:v>
      </x:c>
      <x:c r="G2" s="12" t="str">
        <x:v>不转录不清小字；不假设书内页码</x:v>
      </x:c>
      <x:c r="H2" s="12" t="str">
        <x:v>https://imagepphcloud.thepaper.cn/pph/image/330/136/681.jpg</x:v>
      </x:c>
    </x:row>
    <x:row r="3" ht="88" customHeight="1">
      <x:c r="A3" s="4" t="str">
        <x:v>F02</x:v>
      </x:c>
      <x:c r="B3" s="4" t="str">
        <x:v>E10</x:v>
      </x:c>
      <x:c r="C3" s="4" t="str">
        <x:v>目标协同</x:v>
      </x:c>
      <x:c r="D3" s="4" t="str">
        <x:v>已视觉检查</x:v>
      </x:c>
      <x:c r="E3" s="4" t="str">
        <x:v>未确认；不得补写</x:v>
      </x:c>
      <x:c r="F3" s="4" t="str">
        <x:v>价值与目标关联</x:v>
      </x:c>
      <x:c r="G3" s="4" t="str">
        <x:v>不能直接推出固定权重或绩效值</x:v>
      </x:c>
      <x:c r="H3" s="4" t="str">
        <x:v>https://imagepphcloud.thepaper.cn/pph/image/330/136/710.jpg</x:v>
      </x:c>
    </x:row>
    <x:row r="4" ht="88" customHeight="1">
      <x:c r="A4" s="12" t="str">
        <x:v>F03</x:v>
      </x:c>
      <x:c r="B4" s="12" t="str">
        <x:v>E11</x:v>
      </x:c>
      <x:c r="C4" s="12" t="str">
        <x:v>城市更新专业设置逻辑图（规划、建筑除外）</x:v>
      </x:c>
      <x:c r="D4" s="12" t="str">
        <x:v>已视觉检查</x:v>
      </x:c>
      <x:c r="E4" s="12" t="str">
        <x:v>未确认；不得补写</x:v>
      </x:c>
      <x:c r="F4" s="12" t="str">
        <x:v>资源、专业与设计要素；排除范围</x:v>
      </x:c>
      <x:c r="G4" s="12" t="str">
        <x:v>不等同于包含规划建筑的全专业清单</x:v>
      </x:c>
      <x:c r="H4" s="12" t="str">
        <x:v>https://imagepphcloud.thepaper.cn/pph/image/330/136/711.jpg</x:v>
      </x:c>
    </x:row>
  </x:sheetData>
  <x:pageMargins left="0.7" right="0.7" top="0.75" bottom="0.75" header="0.3" footer="0.3"/>
  <x:tableParts count="1">
    <x:tablePart xmlns:r="http://schemas.openxmlformats.org/officeDocument/2006/relationships" r:id="Rc95b57d869bb4cc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40" hidden="0" customWidth="1"/>
    <x:col min="4" max="4" width="58" hidden="0" customWidth="1"/>
    <x:col min="5" max="5" width="16" hidden="0" customWidth="1"/>
  </x:cols>
  <x:sheetData>
    <x:row r="1" ht="34" customHeight="1">
      <x:c r="A1" s="9" t="str">
        <x:v>查询ID</x:v>
      </x:c>
      <x:c r="B1" s="9" t="str">
        <x:v>核心关键词／查询概括</x:v>
      </x:c>
      <x:c r="C1" s="9" t="str">
        <x:v>检索范围</x:v>
      </x:c>
      <x:c r="D1" s="9" t="str">
        <x:v>本轮结果</x:v>
      </x:c>
      <x:c r="E1" s="9" t="str">
        <x:v>核查日期</x:v>
      </x:c>
    </x:row>
    <x:row r="2" ht="88" customHeight="1">
      <x:c r="A2" s="12" t="str">
        <x:v>Q01</x:v>
      </x:c>
      <x:c r="B2" s="12" t="str">
        <x:v>六册书名＋ISBN＋电子书／PDF／EPUB</x:v>
      </x:c>
      <x:c r="C2" s="12" t="str">
        <x:v>公开网页；出版社与书目检索</x:v>
      </x:c>
      <x:c r="D2" s="12" t="str">
        <x:v>六册全书正文均未取得，搜索结果混杂，不把未命中等同不存在</x:v>
      </x:c>
      <x:c r="E2" s="18" t="n">
        <x:v>46305</x:v>
      </x:c>
    </x:row>
    <x:row r="3" ht="88" customHeight="1">
      <x:c r="A3" s="4" t="str">
        <x:v>Q02</x:v>
      </x:c>
      <x:c r="B3" s="4" t="str">
        <x:v>城市更新绿色指引 电子书 9787112303724</x:v>
      </x:c>
      <x:c r="C3" s="4" t="str">
        <x:v>Kobo／楽天／bol</x:v>
      </x:c>
      <x:c r="D3" s="4" t="str">
        <x:v>确认同一目标多专业分册两个销售入口；Kobo国际站仅索引可见</x:v>
      </x:c>
      <x:c r="E3" s="19" t="n">
        <x:v>46305</x:v>
      </x:c>
    </x:row>
    <x:row r="4" ht="88" customHeight="1">
      <x:c r="A4" s="12" t="str">
        <x:v>Q03</x:v>
      </x:c>
      <x:c r="B4" s="12" t="str">
        <x:v>城市更新绿色指引 规划 建筑 ebook 9787112301898</x:v>
      </x:c>
      <x:c r="C4" s="12" t="str">
        <x:v>Kobo／楽天／CNPeReading／公开书目</x:v>
      </x:c>
      <x:c r="D4" s="12" t="str">
        <x:v>未确认本册可用电子书入口；图书简介不算正文</x:v>
      </x:c>
      <x:c r="E4" s="18" t="n">
        <x:v>46305</x:v>
      </x:c>
    </x:row>
    <x:row r="5" ht="88" customHeight="1">
      <x:c r="A5" s="4" t="str">
        <x:v>Q04</x:v>
      </x:c>
      <x:c r="B5" s="4" t="str">
        <x:v>本土设计 崔愷 崔恺 ebook／分册ISBN</x:v>
      </x:c>
      <x:c r="C5" s="4" t="str">
        <x:v>出版社、零售、机构与图书馆公开记录</x:v>
      </x:c>
      <x:c r="D5" s="4" t="str">
        <x:v>获得或沿用书目及官方发布信息；未确认四册可下载的授权全文</x:v>
      </x:c>
      <x:c r="E5" s="19" t="n">
        <x:v>46305</x:v>
      </x:c>
    </x:row>
    <x:row r="6" ht="88" customHeight="1">
      <x:c r="A6" s="12" t="str">
        <x:v>Q05</x:v>
      </x:c>
      <x:c r="B6" s="12" t="str">
        <x:v>本土设计Ⅱ 9787513041560</x:v>
      </x:c>
      <x:c r="C6" s="12" t="str">
        <x:v>三民书店独立商品页</x:v>
      </x:c>
      <x:c r="D6" s="12" t="str">
        <x:v>确认纸质版本；商品“电子书”通用导航不是该书电子版</x:v>
      </x:c>
      <x:c r="E6" s="18" t="n">
        <x:v>46305</x:v>
      </x:c>
    </x:row>
    <x:row r="7" ht="88" customHeight="1">
      <x:c r="A7" s="4" t="str">
        <x:v>Q06</x:v>
      </x:c>
      <x:c r="B7" s="4" t="str">
        <x:v>本土设计III／城市更新绿色指引 图书馆</x:v>
      </x:c>
      <x:c r="C7" s="4" t="str">
        <x:v>Airiti／高校OPAC检索线索</x:v>
      </x:c>
      <x:c r="D7" s="4" t="str">
        <x:v>部分页面不可读或条目归属不清；排除推荐条目被误识别为电子馆藏</x:v>
      </x:c>
      <x:c r="E7" s="19" t="n">
        <x:v>46305</x:v>
      </x:c>
    </x:row>
    <x:row r="8" ht="88" customHeight="1">
      <x:c r="A8" s="12" t="str">
        <x:v>Q07</x:v>
      </x:c>
      <x:c r="B8" s="12" t="str">
        <x:v>城市更新绿色指引 发布／总体框架</x:v>
      </x:c>
      <x:c r="C8" s="12" t="str">
        <x:v>中国建科发布文章、三张公开图</x:v>
      </x:c>
      <x:c r="D8" s="12" t="str">
        <x:v>获取公开文字及图示阅读证据，不复制全书也不补写未读章节</x:v>
      </x:c>
      <x:c r="E8" s="18" t="n">
        <x:v>46305</x:v>
      </x:c>
    </x:row>
    <x:row r="9" ht="88" customHeight="1">
      <x:c r="A9" s="4" t="str">
        <x:v>Q08</x:v>
      </x:c>
      <x:c r="B9" s="4" t="str">
        <x:v>西安大华1935／老司城游客服务中心</x:v>
      </x:c>
      <x:c r="C9" s="4" t="str">
        <x:v>本土设计研究中心官网</x:v>
      </x:c>
      <x:c r="D9" s="4" t="str">
        <x:v>重新核对两项项目文字和署名，支持有条件的案例转用</x:v>
      </x:c>
      <x:c r="E9" s="19" t="n">
        <x:v>46305</x:v>
      </x:c>
    </x:row>
    <x:row r="10" ht="88" customHeight="1">
      <x:c r="A10" s="12" t="str">
        <x:v>Q09</x:v>
      </x:c>
      <x:c r="B10" s="12" t="str">
        <x:v>本土设计Ⅲ PDF 下载线索</x:v>
      </x:c>
      <x:c r="C10" s="12" t="str">
        <x:v>非出版社第三方下载站</x:v>
      </x:c>
      <x:c r="D10" s="12" t="str">
        <x:v>授权和来源不能确认；不采集、不包装、不列为推荐获取通道</x:v>
      </x:c>
      <x:c r="E10" s="18" t="n">
        <x:v>46305</x:v>
      </x:c>
    </x:row>
  </x:sheetData>
  <x:pageMargins left="0.7" right="0.7" top="0.75" bottom="0.75" header="0.3" footer="0.3"/>
  <x:tableParts count="1">
    <x:tablePart xmlns:r="http://schemas.openxmlformats.org/officeDocument/2006/relationships" r:id="R9c8244da7e2f4cb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62" hidden="0" customWidth="1"/>
    <x:col min="5" max="5" width="55" hidden="0" customWidth="1"/>
  </x:cols>
  <x:sheetData>
    <x:row r="1" ht="34" customHeight="1">
      <x:c r="A1" s="9" t="str">
        <x:v>类别</x:v>
      </x:c>
      <x:c r="B1" s="9" t="str">
        <x:v>检查／资料项</x:v>
      </x:c>
      <x:c r="C1" s="9" t="str">
        <x:v>数量</x:v>
      </x:c>
      <x:c r="D1" s="9" t="str">
        <x:v>范围说明</x:v>
      </x:c>
      <x:c r="E1" s="9" t="str">
        <x:v>文件位置</x:v>
      </x:c>
    </x:row>
    <x:row r="2" ht="88" customHeight="1">
      <x:c r="A2" s="12" t="str">
        <x:v>继承</x:v>
      </x:c>
      <x:c r="B2" s="12" t="str">
        <x:v>项目标题目录</x:v>
      </x:c>
      <x:c r="C2" s="12" t="n">
        <x:v>102</x:v>
      </x:c>
      <x:c r="D2" s="12" t="str">
        <x:v>来自V0.3，非本轮全量复核</x:v>
      </x:c>
      <x:c r="E2" s="12" t="str">
        <x:v>references/index/projects.json</x:v>
      </x:c>
    </x:row>
    <x:row r="3" ht="88" customHeight="1">
      <x:c r="A3" s="4" t="str">
        <x:v>继承</x:v>
      </x:c>
      <x:c r="B3" s="4" t="str">
        <x:v>项目页登记</x:v>
      </x:c>
      <x:c r="C3" s="4" t="n">
        <x:v>17</x:v>
      </x:c>
      <x:c r="D3" s="4" t="str">
        <x:v>前版登记数；没有逐页重读</x:v>
      </x:c>
      <x:c r="E3" s="4" t="str">
        <x:v>references/index/verified_cases.json</x:v>
      </x:c>
    </x:row>
    <x:row r="4" ht="88" customHeight="1">
      <x:c r="A4" s="12" t="str">
        <x:v>继承</x:v>
      </x:c>
      <x:c r="B4" s="12" t="str">
        <x:v>案例决策卡</x:v>
      </x:c>
      <x:c r="C4" s="12" t="n">
        <x:v>12</x:v>
      </x:c>
      <x:c r="D4" s="12" t="str">
        <x:v>本轮只重核C05、C06文字和署名</x:v>
      </x:c>
      <x:c r="E4" s="12" t="str">
        <x:v>references/cases/</x:v>
      </x:c>
    </x:row>
    <x:row r="5" ht="88" customHeight="1">
      <x:c r="A5" s="4" t="str">
        <x:v>继承</x:v>
      </x:c>
      <x:c r="B5" s="4" t="str">
        <x:v>候选设计规则</x:v>
      </x:c>
      <x:c r="C5" s="4" t="n">
        <x:v>16</x:v>
      </x:c>
      <x:c r="D5" s="4" t="str">
        <x:v>保留推论边界；不代表专家验证</x:v>
      </x:c>
      <x:c r="E5" s="4" t="str">
        <x:v>method/rules.json</x:v>
      </x:c>
    </x:row>
    <x:row r="6" ht="88" customHeight="1">
      <x:c r="A6" s="12" t="str">
        <x:v>本轮</x:v>
      </x:c>
      <x:c r="B6" s="12" t="str">
        <x:v>既有来源重读</x:v>
      </x:c>
      <x:c r="C6" s="12" t="n">
        <x:v>6</x:v>
      </x:c>
      <x:c r="D6" s="12" t="str">
        <x:v>E01—E06：文章、访谈、发布材料与两案例</x:v>
      </x:c>
      <x:c r="E6" s="12" t="str">
        <x:v>references/index/sources_v04.json</x:v>
      </x:c>
    </x:row>
    <x:row r="7" ht="88" customHeight="1">
      <x:c r="A7" s="4" t="str">
        <x:v>本轮</x:v>
      </x:c>
      <x:c r="B7" s="4" t="str">
        <x:v>静态检查总项</x:v>
      </x:c>
      <x:c r="C7" s="4" t="n">
        <x:v>15</x:v>
      </x:c>
      <x:c r="D7" s="4" t="str">
        <x:v>结构／引用／状态／数量，非建筑能力验证</x:v>
      </x:c>
      <x:c r="E7" s="4" t="str">
        <x:v>reports/结构校验结果.json</x:v>
      </x:c>
    </x:row>
    <x:row r="8" ht="88" customHeight="1">
      <x:c r="A8" s="12" t="str">
        <x:v>本轮</x:v>
      </x:c>
      <x:c r="B8" s="12" t="str">
        <x:v>静态检查通过</x:v>
      </x:c>
      <x:c r="C8" s="12" t="n">
        <x:v>15</x:v>
      </x:c>
      <x:c r="D8" s="12" t="str">
        <x:v>检查结果文件</x:v>
      </x:c>
      <x:c r="E8" s="12" t="str">
        <x:v>reports/结构校验结果.json</x:v>
      </x:c>
    </x:row>
    <x:row r="9" ht="88" customHeight="1">
      <x:c r="A9" s="4" t="str">
        <x:v>本轮</x:v>
      </x:c>
      <x:c r="B9" s="4" t="str">
        <x:v>合成程序测试总项</x:v>
      </x:c>
      <x:c r="C9" s="4" t="n">
        <x:v>13</x:v>
      </x:c>
      <x:c r="D9" s="4" t="str">
        <x:v>自造EPUB/PDF/TXT；未用真实六册</x:v>
      </x:c>
      <x:c r="E9" s="4" t="str">
        <x:v>reports/程序测试结果.txt</x:v>
      </x:c>
    </x:row>
    <x:row r="10" ht="88" customHeight="1">
      <x:c r="A10" s="12" t="str">
        <x:v>本轮</x:v>
      </x:c>
      <x:c r="B10" s="12" t="str">
        <x:v>合成程序测试通过</x:v>
      </x:c>
      <x:c r="C10" s="12" t="n">
        <x:v>13</x:v>
      </x:c>
      <x:c r="D10" s="12" t="str">
        <x:v>包含spine顺序、权限、DRM、试读状态</x:v>
      </x:c>
      <x:c r="E10" s="12" t="str">
        <x:v>reports/程序测试结果.txt</x:v>
      </x:c>
    </x:row>
    <x:row r="11" ht="88" customHeight="1">
      <x:c r="A11" s="4" t="str">
        <x:v>未完成</x:v>
      </x:c>
      <x:c r="B11" s="4" t="str">
        <x:v>真实六册全文读取</x:v>
      </x:c>
      <x:c r="C11" s="4" t="n">
        <x:v>0</x:v>
      </x:c>
      <x:c r="D11" s="4" t="str">
        <x:v>没有取得正版完整正文</x:v>
      </x:c>
      <x:c r="E11" s="4" t="str">
        <x:v>references/books/出版物与全文状态.json</x:v>
      </x:c>
    </x:row>
    <x:row r="12" ht="88" customHeight="1">
      <x:c r="A12" s="12" t="str">
        <x:v>未完成</x:v>
      </x:c>
      <x:c r="B12" s="12" t="str">
        <x:v>建筑师盲评</x:v>
      </x:c>
      <x:c r="C12" s="12" t="n">
        <x:v>0</x:v>
      </x:c>
      <x:c r="D12" s="12" t="str">
        <x:v>仅建立测试题，未执行评审</x:v>
      </x:c>
      <x:c r="E12" s="12" t="str">
        <x:v>evals/03_设计盲评与证据门槛.md</x:v>
      </x:c>
    </x:row>
  </x:sheetData>
  <x:pageMargins left="0.7" right="0.7" top="0.75" bottom="0.75" header="0.3" footer="0.3"/>
  <x:tableParts count="1">
    <x:tablePart xmlns:r="http://schemas.openxmlformats.org/officeDocument/2006/relationships" r:id="R4b0f054bdb364c00"/>
  </x:tableParts>
</x:worksheet>
</file>